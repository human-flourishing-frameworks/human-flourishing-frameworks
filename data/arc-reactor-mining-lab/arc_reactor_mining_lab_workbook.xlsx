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bd0ba44ff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9d4d1df064d40da"/>
    <x:sheet xmlns:r="http://schemas.openxmlformats.org/officeDocument/2006/relationships" name="Hardware Intake" sheetId="2" r:id="Re9d8ac23b7e7486e"/>
    <x:sheet xmlns:r="http://schemas.openxmlformats.org/officeDocument/2006/relationships" name="Wallet Matrix" sheetId="3" r:id="Rb856e35f31d24f0c"/>
    <x:sheet xmlns:r="http://schemas.openxmlformats.org/officeDocument/2006/relationships" name="Profit Model" sheetId="4" r:id="R9e295cadc7c84134"/>
    <x:sheet xmlns:r="http://schemas.openxmlformats.org/officeDocument/2006/relationships" name="Receipt Ledger" sheetId="5" r:id="R5980545618aa4ca0"/>
    <x:sheet xmlns:r="http://schemas.openxmlformats.org/officeDocument/2006/relationships" name="Airdrop Faucet Tracker" sheetId="6" r:id="R477f5c43105248b1"/>
    <x:sheet xmlns:r="http://schemas.openxmlformats.org/officeDocument/2006/relationships" name="Checks" sheetId="7" r:id="R7ffbc2ada73b41dc"/>
    <x:sheet xmlns:r="http://schemas.openxmlformats.org/officeDocument/2006/relationships" name="Sources" sheetId="8" r:id="R63163f10c847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0"/>
    <x:numFmt numFmtId="201" formatCode="0.0%"/>
    <x:numFmt numFmtId="202" formatCode="$#,##0.0000"/>
    <x:numFmt numFmtId="203" formatCode="$#,##0.00;[Red]($#,##0.00);-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2343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3" fontId="4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7831597e04213" /><Relationship Type="http://schemas.openxmlformats.org/officeDocument/2006/relationships/theme" Target="/xl/theme/theme1.xml" Id="R291e47613b714ee1" /><Relationship Type="http://schemas.openxmlformats.org/officeDocument/2006/relationships/sharedStrings" Target="/xl/sharedStrings.xml" Id="Rca761931bd934324" /><Relationship Type="http://schemas.openxmlformats.org/officeDocument/2006/relationships/worksheet" Target="/xl/worksheets/sheet1.xml" Id="R99d4d1df064d40da" /><Relationship Type="http://schemas.openxmlformats.org/officeDocument/2006/relationships/worksheet" Target="/xl/worksheets/sheet2.xml" Id="Re9d8ac23b7e7486e" /><Relationship Type="http://schemas.openxmlformats.org/officeDocument/2006/relationships/worksheet" Target="/xl/worksheets/sheet3.xml" Id="Rb856e35f31d24f0c" /><Relationship Type="http://schemas.openxmlformats.org/officeDocument/2006/relationships/worksheet" Target="/xl/worksheets/sheet4.xml" Id="R9e295cadc7c84134" /><Relationship Type="http://schemas.openxmlformats.org/officeDocument/2006/relationships/worksheet" Target="/xl/worksheets/sheet5.xml" Id="R5980545618aa4ca0" /><Relationship Type="http://schemas.openxmlformats.org/officeDocument/2006/relationships/worksheet" Target="/xl/worksheets/sheet6.xml" Id="R477f5c43105248b1" /><Relationship Type="http://schemas.openxmlformats.org/officeDocument/2006/relationships/worksheet" Target="/xl/worksheets/sheet7.xml" Id="R7ffbc2ada73b41dc" /><Relationship Type="http://schemas.openxmlformats.org/officeDocument/2006/relationships/worksheet" Target="/xl/worksheets/sheet8.xml" Id="R63163f10c8474e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d00b92239f4a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Illustrative Net USD Before Refresh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Net USD</c:v>
          </c:tx>
          <c:cat>
            <c:strRef>
              <c:f>'Profit Model'!$U$2:$U$4</c:f>
              <c:strCache>
                <c:ptCount val="0"/>
              </c:strCache>
            </c:strRef>
          </c:cat>
          <c:val>
            <c:numRef>
              <c:f>'Profit Model'!$V$2:$V$4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d00b92239f4a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ardwareIntake" displayName="HardwareIntake" ref="A1:P4" headerRowCount="1">
  <x:tableColumns count="16">
    <x:tableColumn id="1" name="device_id"/>
    <x:tableColumn id="2" name="owner"/>
    <x:tableColumn id="3" name="site"/>
    <x:tableColumn id="4" name="device_type"/>
    <x:tableColumn id="5" name="make_model"/>
    <x:tableColumn id="6" name="algorithm_lane"/>
    <x:tableColumn id="7" name="hashrate_input"/>
    <x:tableColumn id="8" name="hashrate_unit"/>
    <x:tableColumn id="9" name="tdp_watts"/>
    <x:tableColumn id="10" name="measured_wall_watts"/>
    <x:tableColumn id="11" name="hours_per_day"/>
    <x:tableColumn id="12" name="kwh_rate_usd"/>
    <x:tableColumn id="13" name="overhead_pct"/>
    <x:tableColumn id="14" name="cooling_status"/>
    <x:tableColumn id="15" name="breaker_circuit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alletMatrix" displayName="WalletMatrix" ref="A1:K6" headerRowCount="1">
  <x:tableColumns count="11">
    <x:tableColumn id="1" name="coin"/>
    <x:tableColumn id="2" name="ticker"/>
    <x:tableColumn id="3" name="network"/>
    <x:tableColumn id="4" name="algorithm"/>
    <x:tableColumn id="5" name="hardware_lane"/>
    <x:tableColumn id="6" name="wallet_software"/>
    <x:tableColumn id="7" name="address_status"/>
    <x:tableColumn id="8" name="receive_address"/>
    <x:tableColumn id="9" name="pool_or_mode"/>
    <x:tableColumn id="10" name="off_ramp_statu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ofitModel" displayName="ProfitModel" ref="A1:S4" headerRowCount="1">
  <x:tableColumns count="19">
    <x:tableColumn id="1" name="scenario_id"/>
    <x:tableColumn id="2" name="coin"/>
    <x:tableColumn id="3" name="ticker"/>
    <x:tableColumn id="4" name="hashrate"/>
    <x:tableColumn id="5" name="hashrate_unit"/>
    <x:tableColumn id="6" name="gross_coin_per_day"/>
    <x:tableColumn id="7" name="coin_price_usd"/>
    <x:tableColumn id="8" name="pool_fee_pct"/>
    <x:tableColumn id="9" name="device_watts"/>
    <x:tableColumn id="10" name="overhead_pct"/>
    <x:tableColumn id="11" name="hours_per_day"/>
    <x:tableColumn id="12" name="kwh_rate_usd"/>
    <x:tableColumn id="13" name="gross_revenue_usd"/>
    <x:tableColumn id="14" name="power_cost_usd"/>
    <x:tableColumn id="15" name="pool_fee_usd"/>
    <x:tableColumn id="16" name="net_usd"/>
    <x:tableColumn id="17" name="decision"/>
    <x:tableColumn id="18" name="refresh_required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eceiptLedger" displayName="ReceiptLedger" ref="A1:L3" headerRowCount="1">
  <x:tableColumns count="12">
    <x:tableColumn id="1" name="timestamp_utc"/>
    <x:tableColumn id="2" name="event_type"/>
    <x:tableColumn id="3" name="coin"/>
    <x:tableColumn id="4" name="amount"/>
    <x:tableColumn id="5" name="wallet_address"/>
    <x:tableColumn id="6" name="pool_or_exchange"/>
    <x:tableColumn id="7" name="txid_or_order_id"/>
    <x:tableColumn id="8" name="gross_usd"/>
    <x:tableColumn id="9" name="fee_usd"/>
    <x:tableColumn id="10" name="net_usd"/>
    <x:tableColumn id="11" name="source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FaucetTracker" displayName="FaucetTracker" ref="A1:J4" headerRowCount="1">
  <x:tableColumns count="10">
    <x:tableColumn id="1" name="item_id"/>
    <x:tableColumn id="2" name="coin_or_network"/>
    <x:tableColumn id="3" name="type"/>
    <x:tableColumn id="4" name="url"/>
    <x:tableColumn id="5" name="status"/>
    <x:tableColumn id="6" name="wallet_required"/>
    <x:tableColumn id="7" name="kyc_required"/>
    <x:tableColumn id="8" name="risk_notes"/>
    <x:tableColumn id="9" name="last_checked"/>
    <x:tableColumn id="10" name="operator_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s" displayName="Sources" ref="A1:G12" headerRowCount="1">
  <x:tableColumns count="7">
    <x:tableColumn id="1" name="source_id"/>
    <x:tableColumn id="2" name="title"/>
    <x:tableColumn id="3" name="url"/>
    <x:tableColumn id="4" name="source_type"/>
    <x:tableColumn id="5" name="used_for"/>
    <x:tableColumn id="6" name="as_of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60d076a99544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02c3939ff64f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cab71f9e6cc4c36" /><Relationship Type="http://schemas.openxmlformats.org/officeDocument/2006/relationships/table" Target="/xl/tables/table3.xml" Id="R33023e2f42ed4c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2aca19ee1047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4e4dc57c7f4c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5b57fa7a2214d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6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Arc Reactor Mining Lab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t="str">
        <x:v>Workbook purpose</x:v>
      </x:c>
      <x:c r="B3" t="str">
        <x:v>Operator-owned mining intake, model, tracking, and source audit</x:v>
      </x:c>
    </x:row>
    <x:row r="4">
      <x:c r="A4" t="str">
        <x:v>Status</x:v>
      </x:c>
      <x:c r="B4" t="str">
        <x:v>Template - fill with current measured values before decisions</x:v>
      </x:c>
    </x:row>
    <x:row r="5">
      <x:c r="A5" t="str">
        <x:v>Safety boundary</x:v>
      </x:c>
      <x:c r="B5" t="str">
        <x:v>Receive addresses only; no private keys, seed phrases, or hidden mining</x:v>
      </x:c>
    </x:row>
    <x:row r="6">
      <x:c r="A6" t="str">
        <x:v>Default power rate</x:v>
      </x:c>
      <x:c r="B6" s="4" t="n">
        <x:v>0.182</x:v>
      </x:c>
    </x:row>
    <x:row r="7">
      <x:c r="A7" t="str">
        <x:v>Default overhead</x:v>
      </x:c>
      <x:c r="B7" s="5" t="n">
        <x:v>0.15</x:v>
      </x:c>
    </x:row>
    <x:row r="8">
      <x:c r="A8" t="str">
        <x:v>As-of date</x:v>
      </x:c>
      <x:c r="B8" t="str">
        <x:v>2026-05-29</x:v>
      </x:c>
    </x:row>
    <x:row r="9">
      <x:c r="A9" t="str">
        <x:v>Model convention</x:v>
      </x:c>
      <x:c r="B9" t="str">
        <x:v>USD/day unless noted</x:v>
      </x:c>
    </x:row>
    <x:row r="10">
      <x:c r="A10" t="str">
        <x:v>Decision rule</x:v>
      </x:c>
      <x:c r="B10" t="str">
        <x:v>Run only bounded tests unless refreshed net estimate and safety checks 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1.880000114440918" hidden="0" customWidth="1"/>
    <x:col min="4" max="4" width="11.25" hidden="0" customWidth="1"/>
    <x:col min="5" max="5" width="22.5" hidden="0" customWidth="1"/>
    <x:col min="6" max="6" width="15" hidden="0" customWidth="1"/>
    <x:col min="7" max="7" width="13.75" hidden="0" customWidth="1"/>
    <x:col min="8" max="8" width="11.25" hidden="0" customWidth="1"/>
    <x:col min="9" max="9" width="10.630000114440918" hidden="0" customWidth="1"/>
    <x:col min="10" max="10" width="15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5" hidden="0" customWidth="1"/>
    <x:col min="15" max="15" width="15" hidden="0" customWidth="1"/>
    <x:col min="16" max="16" width="38.75" hidden="0" customWidth="1"/>
  </x:cols>
  <x:sheetData>
    <x:row r="1">
      <x:c r="A1" s="7" t="str">
        <x:v>device_id</x:v>
      </x:c>
      <x:c r="B1" s="7" t="str">
        <x:v>owner</x:v>
      </x:c>
      <x:c r="C1" s="7" t="str">
        <x:v>site</x:v>
      </x:c>
      <x:c r="D1" s="7" t="str">
        <x:v>device_type</x:v>
      </x:c>
      <x:c r="E1" s="7" t="str">
        <x:v>make_model</x:v>
      </x:c>
      <x:c r="F1" s="7" t="str">
        <x:v>algorithm_lane</x:v>
      </x:c>
      <x:c r="G1" s="7" t="str">
        <x:v>hashrate_input</x:v>
      </x:c>
      <x:c r="H1" s="7" t="str">
        <x:v>hashrate_unit</x:v>
      </x:c>
      <x:c r="I1" s="7" t="str">
        <x:v>tdp_watts</x:v>
      </x:c>
      <x:c r="J1" s="7" t="str">
        <x:v>measured_wall_watts</x:v>
      </x:c>
      <x:c r="K1" s="7" t="str">
        <x:v>hours_per_day</x:v>
      </x:c>
      <x:c r="L1" s="7" t="str">
        <x:v>kwh_rate_usd</x:v>
      </x:c>
      <x:c r="M1" s="7" t="str">
        <x:v>overhead_pct</x:v>
      </x:c>
      <x:c r="N1" s="7" t="str">
        <x:v>cooling_status</x:v>
      </x:c>
      <x:c r="O1" s="7" t="str">
        <x:v>breaker_circuit</x:v>
      </x:c>
      <x:c r="P1" s="7" t="str">
        <x:v>notes</x:v>
      </x:c>
    </x:row>
    <x:row r="2">
      <x:c r="A2" t="str">
        <x:v>cpu-01</x:v>
      </x:c>
      <x:c r="B2" t="str">
        <x:v>operator</x:v>
      </x:c>
      <x:c r="C2" t="str">
        <x:v>local</x:v>
      </x:c>
      <x:c r="D2" t="str">
        <x:v>CPU</x:v>
      </x:c>
      <x:c r="E2" t="str">
        <x:v>Example 8-core CPU</x:v>
      </x:c>
      <x:c r="F2" t="str">
        <x:v>RandomX</x:v>
      </x:c>
      <x:c r="G2" s="3" t="n">
        <x:v>0</x:v>
      </x:c>
      <x:c r="H2" t="str">
        <x:v>H/s</x:v>
      </x:c>
      <x:c r="I2" t="n">
        <x:v>65</x:v>
      </x:c>
      <x:c r="J2" s="3" t="str"/>
      <x:c r="K2" s="3" t="n">
        <x:v>4</x:v>
      </x:c>
      <x:c r="L2" s="4" t="n">
        <x:v>0.182</x:v>
      </x:c>
      <x:c r="M2" s="5" t="n">
        <x:v>0.15</x:v>
      </x:c>
      <x:c r="N2" t="str">
        <x:v>Unknown</x:v>
      </x:c>
      <x:c r="O2" t="str">
        <x:v>Unknown</x:v>
      </x:c>
      <x:c r="P2" t="str">
        <x:v>Replace with measured hashrate after a short test</x:v>
      </x:c>
    </x:row>
    <x:row r="3">
      <x:c r="A3" t="str">
        <x:v>gpu-01</x:v>
      </x:c>
      <x:c r="B3" t="str">
        <x:v>operator</x:v>
      </x:c>
      <x:c r="C3" t="str">
        <x:v>local</x:v>
      </x:c>
      <x:c r="D3" t="str">
        <x:v>GPU</x:v>
      </x:c>
      <x:c r="E3" t="str">
        <x:v>Example RTX 3070</x:v>
      </x:c>
      <x:c r="F3" t="str">
        <x:v>KAWPOW</x:v>
      </x:c>
      <x:c r="G3" s="3" t="n">
        <x:v>0</x:v>
      </x:c>
      <x:c r="H3" t="str">
        <x:v>MH/s</x:v>
      </x:c>
      <x:c r="I3" t="n">
        <x:v>220</x:v>
      </x:c>
      <x:c r="J3" s="3" t="str"/>
      <x:c r="K3" s="3" t="n">
        <x:v>4</x:v>
      </x:c>
      <x:c r="L3" s="4" t="n">
        <x:v>0.182</x:v>
      </x:c>
      <x:c r="M3" s="5" t="n">
        <x:v>0.15</x:v>
      </x:c>
      <x:c r="N3" t="str">
        <x:v>Unknown</x:v>
      </x:c>
      <x:c r="O3" t="str">
        <x:v>Unknown</x:v>
      </x:c>
      <x:c r="P3" t="str">
        <x:v>Use actual wall power when available</x:v>
      </x:c>
    </x:row>
    <x:row r="4">
      <x:c r="A4" t="str">
        <x:v>asic-01</x:v>
      </x:c>
      <x:c r="B4" t="str">
        <x:v>operator</x:v>
      </x:c>
      <x:c r="C4" t="str">
        <x:v>local</x:v>
      </x:c>
      <x:c r="D4" t="str">
        <x:v>ASIC</x:v>
      </x:c>
      <x:c r="E4" t="str">
        <x:v>Example kHeavyHash ASIC</x:v>
      </x:c>
      <x:c r="F4" t="str">
        <x:v>kHeavyHash</x:v>
      </x:c>
      <x:c r="G4" s="3" t="n">
        <x:v>0</x:v>
      </x:c>
      <x:c r="H4" t="str">
        <x:v>TH/s</x:v>
      </x:c>
      <x:c r="I4" t="n">
        <x:v>3080</x:v>
      </x:c>
      <x:c r="J4" s="3" t="str"/>
      <x:c r="K4" s="3" t="n">
        <x:v>0</x:v>
      </x:c>
      <x:c r="L4" s="4" t="n">
        <x:v>0.182</x:v>
      </x:c>
      <x:c r="M4" s="5" t="n">
        <x:v>0.15</x:v>
      </x:c>
      <x:c r="N4" t="str">
        <x:v>Unknown</x:v>
      </x:c>
      <x:c r="O4" t="str">
        <x:v>Unknown</x:v>
      </x:c>
      <x:c r="P4" t="str">
        <x:v>Only model already-owned ASIC hardware</x:v>
      </x:c>
    </x:row>
    <x:row r="5">
      <x:c r="G5" s="3"/>
      <x:c r="J5" s="3"/>
      <x:c r="K5" s="3"/>
      <x:c r="L5" s="4"/>
      <x:c r="M5" s="5"/>
    </x:row>
    <x:row r="6">
      <x:c r="G6" s="3"/>
      <x:c r="J6" s="3"/>
      <x:c r="K6" s="3"/>
      <x:c r="L6" s="4"/>
      <x:c r="M6" s="5"/>
    </x:row>
    <x:row r="7">
      <x:c r="G7" s="3"/>
      <x:c r="J7" s="3"/>
      <x:c r="K7" s="3"/>
      <x:c r="L7" s="4"/>
      <x:c r="M7" s="5"/>
    </x:row>
    <x:row r="8">
      <x:c r="G8" s="3"/>
      <x:c r="J8" s="3"/>
      <x:c r="K8" s="3"/>
      <x:c r="L8" s="4"/>
      <x:c r="M8" s="5"/>
    </x:row>
    <x:row r="9">
      <x:c r="G9" s="3"/>
      <x:c r="J9" s="3"/>
      <x:c r="K9" s="3"/>
      <x:c r="L9" s="4"/>
      <x:c r="M9" s="5"/>
    </x:row>
    <x:row r="10">
      <x:c r="G10" s="3"/>
      <x:c r="J10" s="3"/>
      <x:c r="K10" s="3"/>
      <x:c r="L10" s="4"/>
      <x:c r="M10" s="5"/>
    </x:row>
    <x:row r="11">
      <x:c r="G11" s="3"/>
      <x:c r="J11" s="3"/>
      <x:c r="K11" s="3"/>
      <x:c r="L11" s="4"/>
      <x:c r="M11" s="5"/>
    </x:row>
    <x:row r="12">
      <x:c r="G12" s="3"/>
      <x:c r="J12" s="3"/>
      <x:c r="K12" s="3"/>
      <x:c r="L12" s="4"/>
      <x:c r="M12" s="5"/>
    </x:row>
    <x:row r="13">
      <x:c r="G13" s="3"/>
      <x:c r="J13" s="3"/>
      <x:c r="K13" s="3"/>
      <x:c r="L13" s="4"/>
      <x:c r="M13" s="5"/>
    </x:row>
    <x:row r="14">
      <x:c r="G14" s="3"/>
      <x:c r="J14" s="3"/>
      <x:c r="K14" s="3"/>
      <x:c r="L14" s="4"/>
      <x:c r="M14" s="5"/>
    </x:row>
    <x:row r="15">
      <x:c r="G15" s="3"/>
      <x:c r="J15" s="3"/>
      <x:c r="K15" s="3"/>
      <x:c r="L15" s="4"/>
      <x:c r="M15" s="5"/>
    </x:row>
    <x:row r="16">
      <x:c r="G16" s="3"/>
      <x:c r="J16" s="3"/>
      <x:c r="K16" s="3"/>
      <x:c r="L16" s="4"/>
      <x:c r="M16" s="5"/>
    </x:row>
    <x:row r="17">
      <x:c r="G17" s="3"/>
      <x:c r="J17" s="3"/>
      <x:c r="K17" s="3"/>
      <x:c r="L17" s="4"/>
      <x:c r="M17" s="5"/>
    </x:row>
    <x:row r="18">
      <x:c r="G18" s="3"/>
      <x:c r="J18" s="3"/>
      <x:c r="K18" s="3"/>
      <x:c r="L18" s="4"/>
      <x:c r="M18" s="5"/>
    </x:row>
    <x:row r="19">
      <x:c r="G19" s="3"/>
      <x:c r="J19" s="3"/>
      <x:c r="K19" s="3"/>
      <x:c r="L19" s="4"/>
      <x:c r="M19" s="5"/>
    </x:row>
    <x:row r="20">
      <x:c r="G20" s="3"/>
      <x:c r="J20" s="3"/>
      <x:c r="K20" s="3"/>
      <x:c r="L20" s="4"/>
      <x:c r="M20" s="5"/>
    </x:row>
    <x:row r="21">
      <x:c r="G21" s="3"/>
      <x:c r="J21" s="3"/>
      <x:c r="K21" s="3"/>
      <x:c r="L21" s="4"/>
      <x:c r="M21" s="5"/>
    </x:row>
    <x:row r="22">
      <x:c r="G22" s="3"/>
      <x:c r="J22" s="3"/>
      <x:c r="K22" s="3"/>
      <x:c r="L22" s="4"/>
      <x:c r="M22" s="5"/>
    </x:row>
    <x:row r="23">
      <x:c r="G23" s="3"/>
      <x:c r="J23" s="3"/>
      <x:c r="K23" s="3"/>
      <x:c r="L23" s="4"/>
      <x:c r="M23" s="5"/>
    </x:row>
    <x:row r="24">
      <x:c r="G24" s="3"/>
      <x:c r="J24" s="3"/>
      <x:c r="K24" s="3"/>
      <x:c r="L24" s="4"/>
      <x:c r="M24" s="5"/>
    </x:row>
    <x:row r="25">
      <x:c r="G25" s="3"/>
      <x:c r="J25" s="3"/>
      <x:c r="K25" s="3"/>
      <x:c r="L25" s="4"/>
      <x:c r="M25" s="5"/>
    </x:row>
    <x:row r="26">
      <x:c r="G26" s="3"/>
      <x:c r="J26" s="3"/>
      <x:c r="K26" s="3"/>
      <x:c r="L26" s="4"/>
      <x:c r="M26" s="5"/>
    </x:row>
    <x:row r="27">
      <x:c r="G27" s="3"/>
      <x:c r="J27" s="3"/>
      <x:c r="K27" s="3"/>
      <x:c r="L27" s="4"/>
      <x:c r="M27" s="5"/>
    </x:row>
    <x:row r="28">
      <x:c r="G28" s="3"/>
      <x:c r="J28" s="3"/>
      <x:c r="K28" s="3"/>
      <x:c r="L28" s="4"/>
      <x:c r="M28" s="5"/>
    </x:row>
    <x:row r="29">
      <x:c r="G29" s="3"/>
      <x:c r="J29" s="3"/>
      <x:c r="K29" s="3"/>
      <x:c r="L29" s="4"/>
      <x:c r="M29" s="5"/>
    </x:row>
    <x:row r="30">
      <x:c r="G30" s="3"/>
      <x:c r="J30" s="3"/>
      <x:c r="K30" s="3"/>
      <x:c r="L30" s="4"/>
      <x:c r="M30" s="5"/>
    </x:row>
    <x:row r="31">
      <x:c r="G31" s="3"/>
      <x:c r="J31" s="3"/>
      <x:c r="K31" s="3"/>
      <x:c r="L31" s="4"/>
      <x:c r="M31" s="5"/>
    </x:row>
    <x:row r="32">
      <x:c r="G32" s="3"/>
      <x:c r="J32" s="3"/>
      <x:c r="K32" s="3"/>
      <x:c r="L32" s="4"/>
      <x:c r="M32" s="5"/>
    </x:row>
    <x:row r="33">
      <x:c r="G33" s="3"/>
      <x:c r="J33" s="3"/>
      <x:c r="K33" s="3"/>
      <x:c r="L33" s="4"/>
      <x:c r="M33" s="5"/>
    </x:row>
    <x:row r="34">
      <x:c r="G34" s="3"/>
      <x:c r="J34" s="3"/>
      <x:c r="K34" s="3"/>
      <x:c r="L34" s="4"/>
      <x:c r="M34" s="5"/>
    </x:row>
    <x:row r="35">
      <x:c r="G35" s="3"/>
      <x:c r="J35" s="3"/>
      <x:c r="K35" s="3"/>
      <x:c r="L35" s="4"/>
      <x:c r="M35" s="5"/>
    </x:row>
    <x:row r="36">
      <x:c r="G36" s="3"/>
      <x:c r="J36" s="3"/>
      <x:c r="K36" s="3"/>
      <x:c r="L36" s="4"/>
      <x:c r="M36" s="5"/>
    </x:row>
    <x:row r="37">
      <x:c r="G37" s="3"/>
      <x:c r="J37" s="3"/>
      <x:c r="K37" s="3"/>
      <x:c r="L37" s="4"/>
      <x:c r="M37" s="5"/>
    </x:row>
    <x:row r="38">
      <x:c r="G38" s="3"/>
      <x:c r="J38" s="3"/>
      <x:c r="K38" s="3"/>
      <x:c r="L38" s="4"/>
      <x:c r="M38" s="5"/>
    </x:row>
    <x:row r="39">
      <x:c r="G39" s="3"/>
      <x:c r="J39" s="3"/>
      <x:c r="K39" s="3"/>
      <x:c r="L39" s="4"/>
      <x:c r="M39" s="5"/>
    </x:row>
    <x:row r="40">
      <x:c r="G40" s="3"/>
      <x:c r="J40" s="3"/>
      <x:c r="K40" s="3"/>
      <x:c r="L40" s="4"/>
      <x:c r="M40" s="5"/>
    </x:row>
    <x:row r="41">
      <x:c r="G41" s="3"/>
      <x:c r="J41" s="3"/>
      <x:c r="K41" s="3"/>
      <x:c r="L41" s="4"/>
      <x:c r="M41" s="5"/>
    </x:row>
    <x:row r="42">
      <x:c r="G42" s="3"/>
      <x:c r="J42" s="3"/>
      <x:c r="K42" s="3"/>
      <x:c r="L42" s="4"/>
      <x:c r="M42" s="5"/>
    </x:row>
    <x:row r="43">
      <x:c r="G43" s="3"/>
      <x:c r="J43" s="3"/>
      <x:c r="K43" s="3"/>
      <x:c r="L43" s="4"/>
      <x:c r="M43" s="5"/>
    </x:row>
    <x:row r="44">
      <x:c r="G44" s="3"/>
      <x:c r="J44" s="3"/>
      <x:c r="K44" s="3"/>
      <x:c r="L44" s="4"/>
      <x:c r="M44" s="5"/>
    </x:row>
    <x:row r="45">
      <x:c r="G45" s="3"/>
      <x:c r="J45" s="3"/>
      <x:c r="K45" s="3"/>
      <x:c r="L45" s="4"/>
      <x:c r="M45" s="5"/>
    </x:row>
    <x:row r="46">
      <x:c r="G46" s="3"/>
      <x:c r="J46" s="3"/>
      <x:c r="K46" s="3"/>
      <x:c r="L46" s="4"/>
      <x:c r="M46" s="5"/>
    </x:row>
    <x:row r="47">
      <x:c r="G47" s="3"/>
      <x:c r="J47" s="3"/>
      <x:c r="K47" s="3"/>
      <x:c r="L47" s="4"/>
      <x:c r="M47" s="5"/>
    </x:row>
    <x:row r="48">
      <x:c r="G48" s="3"/>
      <x:c r="J48" s="3"/>
      <x:c r="K48" s="3"/>
      <x:c r="L48" s="4"/>
      <x:c r="M48" s="5"/>
    </x:row>
    <x:row r="49">
      <x:c r="G49" s="3"/>
      <x:c r="J49" s="3"/>
      <x:c r="K49" s="3"/>
      <x:c r="L49" s="4"/>
      <x:c r="M49" s="5"/>
    </x:row>
    <x:row r="50">
      <x:c r="G50" s="3"/>
      <x:c r="J50" s="3"/>
      <x:c r="K50" s="3"/>
      <x:c r="L50" s="4"/>
      <x:c r="M50" s="5"/>
    </x:row>
    <x:row r="51">
      <x:c r="G51" s="3"/>
      <x:c r="J51" s="3"/>
      <x:c r="K51" s="3"/>
      <x:c r="L51" s="4"/>
      <x:c r="M51" s="5"/>
    </x:row>
    <x:row r="52">
      <x:c r="G52" s="3"/>
      <x:c r="J52" s="3"/>
      <x:c r="K52" s="3"/>
      <x:c r="L52" s="4"/>
      <x:c r="M52" s="5"/>
    </x:row>
    <x:row r="53">
      <x:c r="G53" s="3"/>
      <x:c r="J53" s="3"/>
      <x:c r="K53" s="3"/>
      <x:c r="L53" s="4"/>
      <x:c r="M53" s="5"/>
    </x:row>
    <x:row r="54">
      <x:c r="G54" s="3"/>
      <x:c r="J54" s="3"/>
      <x:c r="K54" s="3"/>
      <x:c r="L54" s="4"/>
      <x:c r="M54" s="5"/>
    </x:row>
    <x:row r="55">
      <x:c r="G55" s="3"/>
      <x:c r="J55" s="3"/>
      <x:c r="K55" s="3"/>
      <x:c r="L55" s="4"/>
      <x:c r="M55" s="5"/>
    </x:row>
    <x:row r="56">
      <x:c r="G56" s="3"/>
      <x:c r="J56" s="3"/>
      <x:c r="K56" s="3"/>
      <x:c r="L56" s="4"/>
      <x:c r="M56" s="5"/>
    </x:row>
    <x:row r="57">
      <x:c r="G57" s="3"/>
      <x:c r="J57" s="3"/>
      <x:c r="K57" s="3"/>
      <x:c r="L57" s="4"/>
      <x:c r="M57" s="5"/>
    </x:row>
    <x:row r="58">
      <x:c r="G58" s="3"/>
      <x:c r="J58" s="3"/>
      <x:c r="K58" s="3"/>
      <x:c r="L58" s="4"/>
      <x:c r="M58" s="5"/>
    </x:row>
    <x:row r="59">
      <x:c r="G59" s="3"/>
      <x:c r="J59" s="3"/>
      <x:c r="K59" s="3"/>
      <x:c r="L59" s="4"/>
      <x:c r="M59" s="5"/>
    </x:row>
    <x:row r="60">
      <x:c r="G60" s="3"/>
      <x:c r="J60" s="3"/>
      <x:c r="K60" s="3"/>
      <x:c r="L60" s="4"/>
      <x:c r="M60" s="5"/>
    </x:row>
    <x:row r="61">
      <x:c r="G61" s="3"/>
      <x:c r="J61" s="3"/>
      <x:c r="K61" s="3"/>
      <x:c r="L61" s="4"/>
      <x:c r="M61" s="5"/>
    </x:row>
    <x:row r="62">
      <x:c r="G62" s="3"/>
      <x:c r="J62" s="3"/>
      <x:c r="K62" s="3"/>
      <x:c r="L62" s="4"/>
      <x:c r="M62" s="5"/>
    </x:row>
    <x:row r="63">
      <x:c r="G63" s="3"/>
      <x:c r="J63" s="3"/>
      <x:c r="K63" s="3"/>
      <x:c r="L63" s="4"/>
      <x:c r="M63" s="5"/>
    </x:row>
    <x:row r="64">
      <x:c r="G64" s="3"/>
      <x:c r="J64" s="3"/>
      <x:c r="K64" s="3"/>
      <x:c r="L64" s="4"/>
      <x:c r="M64" s="5"/>
    </x:row>
    <x:row r="65">
      <x:c r="G65" s="3"/>
      <x:c r="J65" s="3"/>
      <x:c r="K65" s="3"/>
      <x:c r="L65" s="4"/>
      <x:c r="M65" s="5"/>
    </x:row>
    <x:row r="66">
      <x:c r="G66" s="3"/>
      <x:c r="J66" s="3"/>
      <x:c r="K66" s="3"/>
      <x:c r="L66" s="4"/>
      <x:c r="M66" s="5"/>
    </x:row>
    <x:row r="67">
      <x:c r="G67" s="3"/>
      <x:c r="J67" s="3"/>
      <x:c r="K67" s="3"/>
      <x:c r="L67" s="4"/>
      <x:c r="M67" s="5"/>
    </x:row>
    <x:row r="68">
      <x:c r="G68" s="3"/>
      <x:c r="J68" s="3"/>
      <x:c r="K68" s="3"/>
      <x:c r="L68" s="4"/>
      <x:c r="M68" s="5"/>
    </x:row>
    <x:row r="69">
      <x:c r="G69" s="3"/>
      <x:c r="J69" s="3"/>
      <x:c r="K69" s="3"/>
      <x:c r="L69" s="4"/>
      <x:c r="M69" s="5"/>
    </x:row>
    <x:row r="70">
      <x:c r="G70" s="3"/>
      <x:c r="J70" s="3"/>
      <x:c r="K70" s="3"/>
      <x:c r="L70" s="4"/>
      <x:c r="M70" s="5"/>
    </x:row>
    <x:row r="71">
      <x:c r="G71" s="3"/>
      <x:c r="J71" s="3"/>
      <x:c r="K71" s="3"/>
      <x:c r="L71" s="4"/>
      <x:c r="M71" s="5"/>
    </x:row>
    <x:row r="72">
      <x:c r="G72" s="3"/>
      <x:c r="J72" s="3"/>
      <x:c r="K72" s="3"/>
      <x:c r="L72" s="4"/>
      <x:c r="M72" s="5"/>
    </x:row>
    <x:row r="73">
      <x:c r="G73" s="3"/>
      <x:c r="J73" s="3"/>
      <x:c r="K73" s="3"/>
      <x:c r="L73" s="4"/>
      <x:c r="M73" s="5"/>
    </x:row>
    <x:row r="74">
      <x:c r="G74" s="3"/>
      <x:c r="J74" s="3"/>
      <x:c r="K74" s="3"/>
      <x:c r="L74" s="4"/>
      <x:c r="M74" s="5"/>
    </x:row>
    <x:row r="75">
      <x:c r="G75" s="3"/>
      <x:c r="J75" s="3"/>
      <x:c r="K75" s="3"/>
      <x:c r="L75" s="4"/>
      <x:c r="M75" s="5"/>
    </x:row>
    <x:row r="76">
      <x:c r="G76" s="3"/>
      <x:c r="J76" s="3"/>
      <x:c r="K76" s="3"/>
      <x:c r="L76" s="4"/>
      <x:c r="M76" s="5"/>
    </x:row>
    <x:row r="77">
      <x:c r="G77" s="3"/>
      <x:c r="J77" s="3"/>
      <x:c r="K77" s="3"/>
      <x:c r="L77" s="4"/>
      <x:c r="M77" s="5"/>
    </x:row>
    <x:row r="78">
      <x:c r="G78" s="3"/>
      <x:c r="J78" s="3"/>
      <x:c r="K78" s="3"/>
      <x:c r="L78" s="4"/>
      <x:c r="M78" s="5"/>
    </x:row>
    <x:row r="79">
      <x:c r="G79" s="3"/>
      <x:c r="J79" s="3"/>
      <x:c r="K79" s="3"/>
      <x:c r="L79" s="4"/>
      <x:c r="M79" s="5"/>
    </x:row>
    <x:row r="80">
      <x:c r="G80" s="3"/>
      <x:c r="J80" s="3"/>
      <x:c r="K80" s="3"/>
      <x:c r="L80" s="4"/>
      <x:c r="M80" s="5"/>
    </x:row>
    <x:row r="81">
      <x:c r="G81" s="3"/>
      <x:c r="J81" s="3"/>
      <x:c r="K81" s="3"/>
      <x:c r="L81" s="4"/>
      <x:c r="M81" s="5"/>
    </x:row>
    <x:row r="82">
      <x:c r="G82" s="3"/>
      <x:c r="J82" s="3"/>
      <x:c r="K82" s="3"/>
      <x:c r="L82" s="4"/>
      <x:c r="M82" s="5"/>
    </x:row>
    <x:row r="83">
      <x:c r="G83" s="3"/>
      <x:c r="J83" s="3"/>
      <x:c r="K83" s="3"/>
      <x:c r="L83" s="4"/>
      <x:c r="M83" s="5"/>
    </x:row>
    <x:row r="84">
      <x:c r="G84" s="3"/>
      <x:c r="J84" s="3"/>
      <x:c r="K84" s="3"/>
      <x:c r="L84" s="4"/>
      <x:c r="M84" s="5"/>
    </x:row>
    <x:row r="85">
      <x:c r="G85" s="3"/>
      <x:c r="J85" s="3"/>
      <x:c r="K85" s="3"/>
      <x:c r="L85" s="4"/>
      <x:c r="M85" s="5"/>
    </x:row>
    <x:row r="86">
      <x:c r="G86" s="3"/>
      <x:c r="J86" s="3"/>
      <x:c r="K86" s="3"/>
      <x:c r="L86" s="4"/>
      <x:c r="M86" s="5"/>
    </x:row>
    <x:row r="87">
      <x:c r="G87" s="3"/>
      <x:c r="J87" s="3"/>
      <x:c r="K87" s="3"/>
      <x:c r="L87" s="4"/>
      <x:c r="M87" s="5"/>
    </x:row>
    <x:row r="88">
      <x:c r="G88" s="3"/>
      <x:c r="J88" s="3"/>
      <x:c r="K88" s="3"/>
      <x:c r="L88" s="4"/>
      <x:c r="M88" s="5"/>
    </x:row>
    <x:row r="89">
      <x:c r="G89" s="3"/>
      <x:c r="J89" s="3"/>
      <x:c r="K89" s="3"/>
      <x:c r="L89" s="4"/>
      <x:c r="M89" s="5"/>
    </x:row>
    <x:row r="90">
      <x:c r="G90" s="3"/>
      <x:c r="J90" s="3"/>
      <x:c r="K90" s="3"/>
      <x:c r="L90" s="4"/>
      <x:c r="M90" s="5"/>
    </x:row>
    <x:row r="91">
      <x:c r="G91" s="3"/>
      <x:c r="J91" s="3"/>
      <x:c r="K91" s="3"/>
      <x:c r="L91" s="4"/>
      <x:c r="M91" s="5"/>
    </x:row>
    <x:row r="92">
      <x:c r="G92" s="3"/>
      <x:c r="J92" s="3"/>
      <x:c r="K92" s="3"/>
      <x:c r="L92" s="4"/>
      <x:c r="M92" s="5"/>
    </x:row>
    <x:row r="93">
      <x:c r="G93" s="3"/>
      <x:c r="J93" s="3"/>
      <x:c r="K93" s="3"/>
      <x:c r="L93" s="4"/>
      <x:c r="M93" s="5"/>
    </x:row>
    <x:row r="94">
      <x:c r="G94" s="3"/>
      <x:c r="J94" s="3"/>
      <x:c r="K94" s="3"/>
      <x:c r="L94" s="4"/>
      <x:c r="M94" s="5"/>
    </x:row>
    <x:row r="95">
      <x:c r="G95" s="3"/>
      <x:c r="J95" s="3"/>
      <x:c r="K95" s="3"/>
      <x:c r="L95" s="4"/>
      <x:c r="M95" s="5"/>
    </x:row>
    <x:row r="96">
      <x:c r="G96" s="3"/>
      <x:c r="J96" s="3"/>
      <x:c r="K96" s="3"/>
      <x:c r="L96" s="4"/>
      <x:c r="M96" s="5"/>
    </x:row>
    <x:row r="97">
      <x:c r="G97" s="3"/>
      <x:c r="J97" s="3"/>
      <x:c r="K97" s="3"/>
      <x:c r="L97" s="4"/>
      <x:c r="M97" s="5"/>
    </x:row>
    <x:row r="98">
      <x:c r="G98" s="3"/>
      <x:c r="J98" s="3"/>
      <x:c r="K98" s="3"/>
      <x:c r="L98" s="4"/>
      <x:c r="M98" s="5"/>
    </x:row>
    <x:row r="99">
      <x:c r="G99" s="3"/>
      <x:c r="J99" s="3"/>
      <x:c r="K99" s="3"/>
      <x:c r="L99" s="4"/>
      <x:c r="M99" s="5"/>
    </x:row>
    <x:row r="100">
      <x:c r="G100" s="3"/>
      <x:c r="J100" s="3"/>
      <x:c r="K100" s="3"/>
      <x:c r="L100" s="4"/>
      <x:c r="M100" s="5"/>
    </x:row>
  </x:sheetData>
  <x:pageMargins left="0.7" right="0.7" top="0.75" bottom="0.75" header="0.3" footer="0.3"/>
  <x:tableParts count="1">
    <x:tablePart xmlns:r="http://schemas.openxmlformats.org/officeDocument/2006/relationships" r:id="Re760d076a99544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.130000114440918" hidden="0" customWidth="1"/>
    <x:col min="3" max="3" width="16.25" hidden="0" customWidth="1"/>
    <x:col min="4" max="4" width="13.130000114440918" hidden="0" customWidth="1"/>
    <x:col min="5" max="5" width="12.5" hidden="0" customWidth="1"/>
    <x:col min="6" max="6" width="26.25" hidden="0" customWidth="1"/>
    <x:col min="7" max="7" width="16.25" hidden="0" customWidth="1"/>
    <x:col min="8" max="8" width="30" hidden="0" customWidth="1"/>
    <x:col min="9" max="9" width="23.75" hidden="0" customWidth="1"/>
    <x:col min="10" max="10" width="21.25" hidden="0" customWidth="1"/>
    <x:col min="11" max="11" width="40" hidden="0" customWidth="1"/>
  </x:cols>
  <x:sheetData>
    <x:row r="1">
      <x:c r="A1" s="7" t="str">
        <x:v>coin</x:v>
      </x:c>
      <x:c r="B1" s="7" t="str">
        <x:v>ticker</x:v>
      </x:c>
      <x:c r="C1" s="7" t="str">
        <x:v>network</x:v>
      </x:c>
      <x:c r="D1" s="7" t="str">
        <x:v>algorithm</x:v>
      </x:c>
      <x:c r="E1" s="7" t="str">
        <x:v>hardware_lane</x:v>
      </x:c>
      <x:c r="F1" s="7" t="str">
        <x:v>wallet_software</x:v>
      </x:c>
      <x:c r="G1" s="7" t="str">
        <x:v>address_status</x:v>
      </x:c>
      <x:c r="H1" s="7" t="str">
        <x:v>receive_address</x:v>
      </x:c>
      <x:c r="I1" s="7" t="str">
        <x:v>pool_or_mode</x:v>
      </x:c>
      <x:c r="J1" s="7" t="str">
        <x:v>off_ramp_status</x:v>
      </x:c>
      <x:c r="K1" s="7" t="str">
        <x:v>notes</x:v>
      </x:c>
    </x:row>
    <x:row r="2">
      <x:c r="A2" t="str">
        <x:v>Monero</x:v>
      </x:c>
      <x:c r="B2" t="str">
        <x:v>XMR</x:v>
      </x:c>
      <x:c r="C2" t="str">
        <x:v>Monero</x:v>
      </x:c>
      <x:c r="D2" t="str">
        <x:v>RandomX</x:v>
      </x:c>
      <x:c r="E2" t="str">
        <x:v>CPU</x:v>
      </x:c>
      <x:c r="F2" t="str">
        <x:v>Official Monero GUI or CLI</x:v>
      </x:c>
      <x:c r="G2" t="str">
        <x:v>Needed</x:v>
      </x:c>
      <x:c r="H2" s="3" t="str"/>
      <x:c r="I2" t="str">
        <x:v>Pool or P2Pool</x:v>
      </x:c>
      <x:c r="J2" t="str">
        <x:v>Check exchange support</x:v>
      </x:c>
      <x:c r="K2" t="str">
        <x:v>Receive address only; never store seed phrase here</x:v>
      </x:c>
    </x:row>
    <x:row r="3">
      <x:c r="A3" t="str">
        <x:v>Ravencoin</x:v>
      </x:c>
      <x:c r="B3" t="str">
        <x:v>RVN</x:v>
      </x:c>
      <x:c r="C3" t="str">
        <x:v>Ravencoin</x:v>
      </x:c>
      <x:c r="D3" t="str">
        <x:v>KAWPOW</x:v>
      </x:c>
      <x:c r="E3" t="str">
        <x:v>GPU</x:v>
      </x:c>
      <x:c r="F3" t="str">
        <x:v>Official Ravencoin wallet</x:v>
      </x:c>
      <x:c r="G3" t="str">
        <x:v>Needed</x:v>
      </x:c>
      <x:c r="H3" s="3" t="str"/>
      <x:c r="I3" t="str">
        <x:v>Public pool</x:v>
      </x:c>
      <x:c r="J3" t="str">
        <x:v>Check exchange support</x:v>
      </x:c>
      <x:c r="K3" t="str">
        <x:v>GPU lane only if cooling and wall power are acceptable</x:v>
      </x:c>
    </x:row>
    <x:row r="4">
      <x:c r="A4" t="str">
        <x:v>Kaspa</x:v>
      </x:c>
      <x:c r="B4" t="str">
        <x:v>KAS</x:v>
      </x:c>
      <x:c r="C4" t="str">
        <x:v>Kaspa</x:v>
      </x:c>
      <x:c r="D4" t="str">
        <x:v>kHeavyHash</x:v>
      </x:c>
      <x:c r="E4" t="str">
        <x:v>ASIC</x:v>
      </x:c>
      <x:c r="F4" t="str">
        <x:v>Official Kaspa wallet</x:v>
      </x:c>
      <x:c r="G4" t="str">
        <x:v>Needed</x:v>
      </x:c>
      <x:c r="H4" s="3" t="str"/>
      <x:c r="I4" t="str">
        <x:v>ASIC pool only</x:v>
      </x:c>
      <x:c r="J4" t="str">
        <x:v>Check exchange support</x:v>
      </x:c>
      <x:c r="K4" t="str">
        <x:v>Skip unless compatible ASIC and cheap power already exist</x:v>
      </x:c>
    </x:row>
    <x:row r="5">
      <x:c r="A5" t="str">
        <x:v>Ethereum Classic</x:v>
      </x:c>
      <x:c r="B5" t="str">
        <x:v>ETC</x:v>
      </x:c>
      <x:c r="C5" t="str">
        <x:v>Ethereum Classic</x:v>
      </x:c>
      <x:c r="D5" t="str">
        <x:v>Etchash</x:v>
      </x:c>
      <x:c r="E5" t="str">
        <x:v>GPU</x:v>
      </x:c>
      <x:c r="F5" t="str">
        <x:v>Official or hardware wallet</x:v>
      </x:c>
      <x:c r="G5" t="str">
        <x:v>Optional</x:v>
      </x:c>
      <x:c r="H5" s="3" t="str"/>
      <x:c r="I5" t="str">
        <x:v>Public pool</x:v>
      </x:c>
      <x:c r="J5" t="str">
        <x:v>Check exchange support</x:v>
      </x:c>
      <x:c r="K5" t="str">
        <x:v>Optional GPU comparison lane</x:v>
      </x:c>
    </x:row>
    <x:row r="6">
      <x:c r="A6" t="str">
        <x:v>Bitcoin</x:v>
      </x:c>
      <x:c r="B6" t="str">
        <x:v>BTC</x:v>
      </x:c>
      <x:c r="C6" t="str">
        <x:v>Bitcoin</x:v>
      </x:c>
      <x:c r="D6" t="str">
        <x:v>SHA-256</x:v>
      </x:c>
      <x:c r="E6" t="str">
        <x:v>ASIC</x:v>
      </x:c>
      <x:c r="F6" t="str">
        <x:v>Hardware wallet</x:v>
      </x:c>
      <x:c r="G6" t="str">
        <x:v>Reference only</x:v>
      </x:c>
      <x:c r="H6" s="3" t="str"/>
      <x:c r="I6" t="str">
        <x:v>Not recommended for home CPU/GPU</x:v>
      </x:c>
      <x:c r="J6" t="str">
        <x:v>Major exchanges</x:v>
      </x:c>
      <x:c r="K6" t="str">
        <x:v>Reference lane only</x:v>
      </x:c>
    </x:row>
    <x:row r="7">
      <x:c r="H7" s="3"/>
    </x:row>
    <x:row r="8">
      <x:c r="H8" s="3"/>
    </x:row>
    <x:row r="9">
      <x:c r="H9" s="3"/>
    </x:row>
    <x:row r="10">
      <x:c r="H10" s="3"/>
    </x:row>
    <x:row r="11">
      <x:c r="H11" s="3"/>
    </x:row>
    <x:row r="12">
      <x:c r="H12" s="3"/>
    </x:row>
    <x:row r="13">
      <x:c r="H13" s="3"/>
    </x:row>
    <x:row r="14">
      <x:c r="H14" s="3"/>
    </x:row>
    <x:row r="15">
      <x:c r="H15" s="3"/>
    </x:row>
    <x:row r="16">
      <x:c r="H16" s="3"/>
    </x:row>
    <x:row r="17">
      <x:c r="H17" s="3"/>
    </x:row>
    <x:row r="18">
      <x:c r="H18" s="3"/>
    </x:row>
    <x:row r="19">
      <x:c r="H19" s="3"/>
    </x:row>
    <x:row r="20">
      <x:c r="H20" s="3"/>
    </x:row>
    <x:row r="21">
      <x:c r="H21" s="3"/>
    </x:row>
    <x:row r="22">
      <x:c r="H22" s="3"/>
    </x:row>
    <x:row r="23">
      <x:c r="H23" s="3"/>
    </x:row>
    <x:row r="24">
      <x:c r="H24" s="3"/>
    </x:row>
    <x:row r="25">
      <x:c r="H25" s="3"/>
    </x:row>
    <x:row r="26">
      <x:c r="H26" s="3"/>
    </x:row>
    <x:row r="27">
      <x:c r="H27" s="3"/>
    </x:row>
    <x:row r="28">
      <x:c r="H28" s="3"/>
    </x:row>
    <x:row r="29">
      <x:c r="H29" s="3"/>
    </x:row>
    <x:row r="30">
      <x:c r="H30" s="3"/>
    </x:row>
    <x:row r="31">
      <x:c r="H31" s="3"/>
    </x:row>
    <x:row r="32">
      <x:c r="H32" s="3"/>
    </x:row>
    <x:row r="33">
      <x:c r="H33" s="3"/>
    </x:row>
    <x:row r="34">
      <x:c r="H34" s="3"/>
    </x:row>
    <x:row r="35">
      <x:c r="H35" s="3"/>
    </x:row>
    <x:row r="36">
      <x:c r="H36" s="3"/>
    </x:row>
    <x:row r="37">
      <x:c r="H37" s="3"/>
    </x:row>
    <x:row r="38">
      <x:c r="H38" s="3"/>
    </x:row>
    <x:row r="39">
      <x:c r="H39" s="3"/>
    </x:row>
    <x:row r="40">
      <x:c r="H40" s="3"/>
    </x:row>
    <x:row r="41">
      <x:c r="H41" s="3"/>
    </x:row>
    <x:row r="42">
      <x:c r="H42" s="3"/>
    </x:row>
    <x:row r="43">
      <x:c r="H43" s="3"/>
    </x:row>
    <x:row r="44">
      <x:c r="H44" s="3"/>
    </x:row>
    <x:row r="45">
      <x:c r="H45" s="3"/>
    </x:row>
    <x:row r="46">
      <x:c r="H46" s="3"/>
    </x:row>
    <x:row r="47">
      <x:c r="H47" s="3"/>
    </x:row>
    <x:row r="48">
      <x:c r="H48" s="3"/>
    </x:row>
    <x:row r="49">
      <x:c r="H49" s="3"/>
    </x:row>
    <x:row r="50">
      <x:c r="H50" s="3"/>
    </x:row>
    <x:row r="51">
      <x:c r="H51" s="3"/>
    </x:row>
    <x:row r="52">
      <x:c r="H52" s="3"/>
    </x:row>
    <x:row r="53">
      <x:c r="H53" s="3"/>
    </x:row>
    <x:row r="54">
      <x:c r="H54" s="3"/>
    </x:row>
    <x:row r="55">
      <x:c r="H55" s="3"/>
    </x:row>
    <x:row r="56">
      <x:c r="H56" s="3"/>
    </x:row>
    <x:row r="57">
      <x:c r="H57" s="3"/>
    </x:row>
    <x:row r="58">
      <x:c r="H58" s="3"/>
    </x:row>
    <x:row r="59">
      <x:c r="H59" s="3"/>
    </x:row>
    <x:row r="60">
      <x:c r="H60" s="3"/>
    </x:row>
    <x:row r="61">
      <x:c r="H61" s="3"/>
    </x:row>
    <x:row r="62">
      <x:c r="H62" s="3"/>
    </x:row>
    <x:row r="63">
      <x:c r="H63" s="3"/>
    </x:row>
    <x:row r="64">
      <x:c r="H64" s="3"/>
    </x:row>
    <x:row r="65">
      <x:c r="H65" s="3"/>
    </x:row>
    <x:row r="66">
      <x:c r="H66" s="3"/>
    </x:row>
    <x:row r="67">
      <x:c r="H67" s="3"/>
    </x:row>
    <x:row r="68">
      <x:c r="H68" s="3"/>
    </x:row>
    <x:row r="69">
      <x:c r="H69" s="3"/>
    </x:row>
    <x:row r="70">
      <x:c r="H70" s="3"/>
    </x:row>
    <x:row r="71">
      <x:c r="H71" s="3"/>
    </x:row>
    <x:row r="72">
      <x:c r="H72" s="3"/>
    </x:row>
    <x:row r="73">
      <x:c r="H73" s="3"/>
    </x:row>
    <x:row r="74">
      <x:c r="H74" s="3"/>
    </x:row>
    <x:row r="75">
      <x:c r="H75" s="3"/>
    </x:row>
    <x:row r="76">
      <x:c r="H76" s="3"/>
    </x:row>
    <x:row r="77">
      <x:c r="H77" s="3"/>
    </x:row>
    <x:row r="78">
      <x:c r="H78" s="3"/>
    </x:row>
    <x:row r="79">
      <x:c r="H79" s="3"/>
    </x:row>
    <x:row r="80">
      <x:c r="H80" s="3"/>
    </x:row>
    <x:row r="81">
      <x:c r="H81" s="3"/>
    </x:row>
    <x:row r="82">
      <x:c r="H82" s="3"/>
    </x:row>
    <x:row r="83">
      <x:c r="H83" s="3"/>
    </x:row>
    <x:row r="84">
      <x:c r="H84" s="3"/>
    </x:row>
    <x:row r="85">
      <x:c r="H85" s="3"/>
    </x:row>
    <x:row r="86">
      <x:c r="H86" s="3"/>
    </x:row>
    <x:row r="87">
      <x:c r="H87" s="3"/>
    </x:row>
    <x:row r="88">
      <x:c r="H88" s="3"/>
    </x:row>
    <x:row r="89">
      <x:c r="H89" s="3"/>
    </x:row>
    <x:row r="90">
      <x:c r="H90" s="3"/>
    </x:row>
    <x:row r="91">
      <x:c r="H91" s="3"/>
    </x:row>
    <x:row r="92">
      <x:c r="H92" s="3"/>
    </x:row>
    <x:row r="93">
      <x:c r="H93" s="3"/>
    </x:row>
    <x:row r="94">
      <x:c r="H94" s="3"/>
    </x:row>
    <x:row r="95">
      <x:c r="H95" s="3"/>
    </x:row>
    <x:row r="96">
      <x:c r="H96" s="3"/>
    </x:row>
    <x:row r="97">
      <x:c r="H97" s="3"/>
    </x:row>
    <x:row r="98">
      <x:c r="H98" s="3"/>
    </x:row>
    <x:row r="99">
      <x:c r="H99" s="3"/>
    </x:row>
    <x:row r="100">
      <x:c r="H100" s="3"/>
    </x:row>
  </x:sheetData>
  <x:pageMargins left="0.7" right="0.7" top="0.75" bottom="0.75" header="0.3" footer="0.3"/>
  <x:tableParts count="1">
    <x:tablePart xmlns:r="http://schemas.openxmlformats.org/officeDocument/2006/relationships" r:id="R9902c3939ff64f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75" hidden="0" customWidth="1"/>
    <x:col min="3" max="3" width="8.130000114440918" hidden="0" customWidth="1"/>
    <x:col min="4" max="4" width="11.25" hidden="0" customWidth="1"/>
    <x:col min="5" max="5" width="11.880000114440918" hidden="0" customWidth="1"/>
    <x:col min="6" max="6" width="15" hidden="0" customWidth="1"/>
    <x:col min="7" max="7" width="13.75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4.380000114440918" hidden="0" customWidth="1"/>
    <x:col min="14" max="14" width="14.380000114440918" hidden="0" customWidth="1"/>
    <x:col min="15" max="15" width="12.5" hidden="0" customWidth="1"/>
    <x:col min="16" max="16" width="12.5" hidden="0" customWidth="1"/>
    <x:col min="17" max="17" width="13.75" hidden="0" customWidth="1"/>
    <x:col min="18" max="18" width="14.380000114440918" hidden="0" customWidth="1"/>
    <x:col min="19" max="19" width="40" hidden="0" customWidth="1"/>
  </x:cols>
  <x:sheetData>
    <x:row r="1">
      <x:c r="A1" s="7" t="str">
        <x:v>scenario_id</x:v>
      </x:c>
      <x:c r="B1" s="7" t="str">
        <x:v>coin</x:v>
      </x:c>
      <x:c r="C1" s="7" t="str">
        <x:v>ticker</x:v>
      </x:c>
      <x:c r="D1" s="7" t="str">
        <x:v>hashrate</x:v>
      </x:c>
      <x:c r="E1" s="7" t="str">
        <x:v>hashrate_unit</x:v>
      </x:c>
      <x:c r="F1" s="7" t="str">
        <x:v>gross_coin_per_day</x:v>
      </x:c>
      <x:c r="G1" s="7" t="str">
        <x:v>coin_price_usd</x:v>
      </x:c>
      <x:c r="H1" s="7" t="str">
        <x:v>pool_fee_pct</x:v>
      </x:c>
      <x:c r="I1" s="7" t="str">
        <x:v>device_watts</x:v>
      </x:c>
      <x:c r="J1" s="7" t="str">
        <x:v>overhead_pct</x:v>
      </x:c>
      <x:c r="K1" s="7" t="str">
        <x:v>hours_per_day</x:v>
      </x:c>
      <x:c r="L1" s="7" t="str">
        <x:v>kwh_rate_usd</x:v>
      </x:c>
      <x:c r="M1" s="7" t="str">
        <x:v>gross_revenue_usd</x:v>
      </x:c>
      <x:c r="N1" s="7" t="str">
        <x:v>power_cost_usd</x:v>
      </x:c>
      <x:c r="O1" s="7" t="str">
        <x:v>pool_fee_usd</x:v>
      </x:c>
      <x:c r="P1" s="7" t="str">
        <x:v>net_usd</x:v>
      </x:c>
      <x:c r="Q1" s="7" t="str">
        <x:v>decision</x:v>
      </x:c>
      <x:c r="R1" s="7" t="str">
        <x:v>refresh_required</x:v>
      </x:c>
      <x:c r="S1" s="7" t="str">
        <x:v>notes</x:v>
      </x:c>
      <x:c r="U1" t="str">
        <x:v>Coin</x:v>
      </x:c>
      <x:c r="V1" t="str">
        <x:v>Net USD</x:v>
      </x:c>
    </x:row>
    <x:row r="2">
      <x:c r="A2" t="str">
        <x:v>xmr-cpu-example</x:v>
      </x:c>
      <x:c r="B2" t="str">
        <x:v>Monero</x:v>
      </x:c>
      <x:c r="C2" t="str">
        <x:v>XMR</x:v>
      </x:c>
      <x:c r="D2" s="3" t="n">
        <x:v>0</x:v>
      </x:c>
      <x:c r="E2" s="3" t="str">
        <x:v>H/s</x:v>
      </x:c>
      <x:c r="F2" s="3" t="n">
        <x:v>0</x:v>
      </x:c>
      <x:c r="G2" s="9" t="n">
        <x:v>0</x:v>
      </x:c>
      <x:c r="H2" s="5" t="n">
        <x:v>0.01</x:v>
      </x:c>
      <x:c r="I2" s="5" t="n">
        <x:v>65</x:v>
      </x:c>
      <x:c r="J2" s="5" t="n">
        <x:v>0.15</x:v>
      </x:c>
      <x:c r="K2" s="3" t="n">
        <x:v>4</x:v>
      </x:c>
      <x:c r="L2" s="10" t="n">
        <x:v>0.182</x:v>
      </x:c>
      <x:c r="M2" s="11" t="n">
        <x:f>F2*G2</x:f>
        <x:v>0</x:v>
      </x:c>
      <x:c r="N2" s="11" t="n">
        <x:f>((I2*(1+J2))/1000)*K2*L2</x:f>
        <x:v>0.054417999999999994</x:v>
      </x:c>
      <x:c r="O2" s="11" t="n">
        <x:f>M2*H2</x:f>
        <x:v>0</x:v>
      </x:c>
      <x:c r="P2" s="11" t="n">
        <x:f>M2-N2-O2</x:f>
        <x:v>-0.054417999999999994</x:v>
      </x:c>
      <x:c r="Q2" s="8" t="str">
        <x:f>IF(R2="Yes","Refresh first",IF(P2&gt;0,"Candidate","Do not run"))</x:f>
        <x:v>Refresh first</x:v>
      </x:c>
      <x:c r="R2" t="str">
        <x:v>Yes</x:v>
      </x:c>
      <x:c r="S2" t="str">
        <x:v>Enter current calculator output and measured wall power before deciding</x:v>
      </x:c>
      <x:c r="U2" t="str">
        <x:f>B2</x:f>
        <x:v>Monero</x:v>
      </x:c>
      <x:c r="V2" t="n">
        <x:f>P2</x:f>
        <x:v>-0.054417999999999994</x:v>
      </x:c>
    </x:row>
    <x:row r="3">
      <x:c r="A3" t="str">
        <x:v>rvn-gpu-example</x:v>
      </x:c>
      <x:c r="B3" t="str">
        <x:v>Ravencoin</x:v>
      </x:c>
      <x:c r="C3" t="str">
        <x:v>RVN</x:v>
      </x:c>
      <x:c r="D3" s="3" t="n">
        <x:v>0</x:v>
      </x:c>
      <x:c r="E3" s="3" t="str">
        <x:v>MH/s</x:v>
      </x:c>
      <x:c r="F3" s="3" t="n">
        <x:v>0</x:v>
      </x:c>
      <x:c r="G3" s="9" t="n">
        <x:v>0</x:v>
      </x:c>
      <x:c r="H3" s="5" t="n">
        <x:v>0.01</x:v>
      </x:c>
      <x:c r="I3" s="5" t="n">
        <x:v>220</x:v>
      </x:c>
      <x:c r="J3" s="5" t="n">
        <x:v>0.15</x:v>
      </x:c>
      <x:c r="K3" s="3" t="n">
        <x:v>4</x:v>
      </x:c>
      <x:c r="L3" s="10" t="n">
        <x:v>0.182</x:v>
      </x:c>
      <x:c r="M3" s="11" t="n">
        <x:f>F3*G3</x:f>
        <x:v>0</x:v>
      </x:c>
      <x:c r="N3" s="11" t="n">
        <x:f>((I3*(1+J3))/1000)*K3*L3</x:f>
        <x:v>0.18418399999999996</x:v>
      </x:c>
      <x:c r="O3" s="11" t="n">
        <x:f>M3*H3</x:f>
        <x:v>0</x:v>
      </x:c>
      <x:c r="P3" s="11" t="n">
        <x:f>M3-N3-O3</x:f>
        <x:v>-0.18418399999999996</x:v>
      </x:c>
      <x:c r="Q3" s="8" t="str">
        <x:f>IF(R3="Yes","Refresh first",IF(P3&gt;0,"Candidate","Do not run"))</x:f>
        <x:v>Refresh first</x:v>
      </x:c>
      <x:c r="R3" t="str">
        <x:v>Yes</x:v>
      </x:c>
      <x:c r="S3" t="str">
        <x:v>Use current pool estimate and actual GPU tuning values</x:v>
      </x:c>
      <x:c r="U3" t="str">
        <x:f>B3</x:f>
        <x:v>Ravencoin</x:v>
      </x:c>
      <x:c r="V3" t="n">
        <x:f>P3</x:f>
        <x:v>-0.18418399999999996</x:v>
      </x:c>
    </x:row>
    <x:row r="4">
      <x:c r="A4" t="str">
        <x:v>kas-asic-example</x:v>
      </x:c>
      <x:c r="B4" t="str">
        <x:v>Kaspa</x:v>
      </x:c>
      <x:c r="C4" t="str">
        <x:v>KAS</x:v>
      </x:c>
      <x:c r="D4" s="3" t="n">
        <x:v>0</x:v>
      </x:c>
      <x:c r="E4" s="3" t="str">
        <x:v>TH/s</x:v>
      </x:c>
      <x:c r="F4" s="3" t="n">
        <x:v>0</x:v>
      </x:c>
      <x:c r="G4" s="9" t="n">
        <x:v>0</x:v>
      </x:c>
      <x:c r="H4" s="5" t="n">
        <x:v>0.01</x:v>
      </x:c>
      <x:c r="I4" s="5" t="n">
        <x:v>3080</x:v>
      </x:c>
      <x:c r="J4" s="5" t="n">
        <x:v>0.15</x:v>
      </x:c>
      <x:c r="K4" s="3" t="n">
        <x:v>0</x:v>
      </x:c>
      <x:c r="L4" s="10" t="n">
        <x:v>0.182</x:v>
      </x:c>
      <x:c r="M4" s="11" t="n">
        <x:f>F4*G4</x:f>
        <x:v>0</x:v>
      </x:c>
      <x:c r="N4" s="11" t="n">
        <x:f>((I4*(1+J4))/1000)*K4*L4</x:f>
        <x:v>0</x:v>
      </x:c>
      <x:c r="O4" s="11" t="n">
        <x:f>M4*H4</x:f>
        <x:v>0</x:v>
      </x:c>
      <x:c r="P4" s="11" t="n">
        <x:f>M4-N4-O4</x:f>
        <x:v>0</x:v>
      </x:c>
      <x:c r="Q4" s="8" t="str">
        <x:f>IF(R4="Yes","Refresh first",IF(P4&gt;0,"Candidate","Do not run"))</x:f>
        <x:v>Refresh first</x:v>
      </x:c>
      <x:c r="R4" t="str">
        <x:v>Yes</x:v>
      </x:c>
      <x:c r="S4" t="str">
        <x:v>Do not buy ASIC from this template; model already-owned hardware</x:v>
      </x:c>
      <x:c r="U4" t="str">
        <x:f>B4</x:f>
        <x:v>Kaspa</x:v>
      </x:c>
      <x:c r="V4" t="n">
        <x:f>P4</x:f>
        <x:v>0</x:v>
      </x:c>
    </x:row>
    <x:row r="5">
      <x:c r="D5" s="3"/>
      <x:c r="E5" s="3"/>
      <x:c r="F5" s="3"/>
      <x:c r="G5" s="9"/>
      <x:c r="H5" s="5"/>
      <x:c r="I5" s="5"/>
      <x:c r="J5" s="5"/>
      <x:c r="K5" s="3"/>
      <x:c r="L5" s="10"/>
      <x:c r="M5" s="11"/>
      <x:c r="N5" s="11"/>
      <x:c r="O5" s="11"/>
      <x:c r="P5" s="11"/>
      <x:c r="Q5" s="8"/>
    </x:row>
    <x:row r="6">
      <x:c r="D6" s="3"/>
      <x:c r="E6" s="3"/>
      <x:c r="F6" s="3"/>
      <x:c r="G6" s="9"/>
      <x:c r="H6" s="5"/>
      <x:c r="I6" s="5"/>
      <x:c r="J6" s="5"/>
      <x:c r="K6" s="3"/>
      <x:c r="L6" s="10"/>
      <x:c r="M6" s="11"/>
      <x:c r="N6" s="11"/>
      <x:c r="O6" s="11"/>
      <x:c r="P6" s="11"/>
      <x:c r="Q6" s="8"/>
    </x:row>
    <x:row r="7">
      <x:c r="D7" s="3"/>
      <x:c r="E7" s="3"/>
      <x:c r="F7" s="3"/>
      <x:c r="G7" s="9"/>
      <x:c r="H7" s="5"/>
      <x:c r="I7" s="5"/>
      <x:c r="J7" s="5"/>
      <x:c r="K7" s="3"/>
      <x:c r="L7" s="10"/>
      <x:c r="M7" s="11"/>
      <x:c r="N7" s="11"/>
      <x:c r="O7" s="11"/>
      <x:c r="P7" s="11"/>
      <x:c r="Q7" s="8"/>
    </x:row>
    <x:row r="8">
      <x:c r="D8" s="3"/>
      <x:c r="E8" s="3"/>
      <x:c r="F8" s="3"/>
      <x:c r="G8" s="9"/>
      <x:c r="H8" s="5"/>
      <x:c r="I8" s="5"/>
      <x:c r="J8" s="5"/>
      <x:c r="K8" s="3"/>
      <x:c r="L8" s="10"/>
      <x:c r="M8" s="11"/>
      <x:c r="N8" s="11"/>
      <x:c r="O8" s="11"/>
      <x:c r="P8" s="11"/>
      <x:c r="Q8" s="8"/>
    </x:row>
    <x:row r="9">
      <x:c r="D9" s="3"/>
      <x:c r="E9" s="3"/>
      <x:c r="F9" s="3"/>
      <x:c r="G9" s="9"/>
      <x:c r="H9" s="5"/>
      <x:c r="I9" s="5"/>
      <x:c r="J9" s="5"/>
      <x:c r="K9" s="3"/>
      <x:c r="L9" s="10"/>
      <x:c r="M9" s="11"/>
      <x:c r="N9" s="11"/>
      <x:c r="O9" s="11"/>
      <x:c r="P9" s="11"/>
      <x:c r="Q9" s="8"/>
    </x:row>
    <x:row r="10">
      <x:c r="D10" s="3"/>
      <x:c r="E10" s="3"/>
      <x:c r="F10" s="3"/>
      <x:c r="G10" s="9"/>
      <x:c r="H10" s="5"/>
      <x:c r="I10" s="5"/>
      <x:c r="J10" s="5"/>
      <x:c r="K10" s="3"/>
      <x:c r="L10" s="10"/>
      <x:c r="M10" s="11"/>
      <x:c r="N10" s="11"/>
      <x:c r="O10" s="11"/>
      <x:c r="P10" s="11"/>
      <x:c r="Q10" s="8"/>
    </x:row>
    <x:row r="11">
      <x:c r="D11" s="3"/>
      <x:c r="E11" s="3"/>
      <x:c r="F11" s="3"/>
      <x:c r="G11" s="9"/>
      <x:c r="H11" s="5"/>
      <x:c r="I11" s="5"/>
      <x:c r="J11" s="5"/>
      <x:c r="K11" s="3"/>
      <x:c r="L11" s="10"/>
      <x:c r="M11" s="11"/>
      <x:c r="N11" s="11"/>
      <x:c r="O11" s="11"/>
      <x:c r="P11" s="11"/>
      <x:c r="Q11" s="8"/>
    </x:row>
    <x:row r="12">
      <x:c r="D12" s="3"/>
      <x:c r="E12" s="3"/>
      <x:c r="F12" s="3"/>
      <x:c r="G12" s="9"/>
      <x:c r="H12" s="5"/>
      <x:c r="I12" s="5"/>
      <x:c r="J12" s="5"/>
      <x:c r="K12" s="3"/>
      <x:c r="L12" s="10"/>
      <x:c r="M12" s="11"/>
      <x:c r="N12" s="11"/>
      <x:c r="O12" s="11"/>
      <x:c r="P12" s="11"/>
      <x:c r="Q12" s="8"/>
    </x:row>
    <x:row r="13">
      <x:c r="D13" s="3"/>
      <x:c r="E13" s="3"/>
      <x:c r="F13" s="3"/>
      <x:c r="G13" s="9"/>
      <x:c r="H13" s="5"/>
      <x:c r="I13" s="5"/>
      <x:c r="J13" s="5"/>
      <x:c r="K13" s="3"/>
      <x:c r="L13" s="10"/>
      <x:c r="M13" s="11"/>
      <x:c r="N13" s="11"/>
      <x:c r="O13" s="11"/>
      <x:c r="P13" s="11"/>
      <x:c r="Q13" s="8"/>
    </x:row>
    <x:row r="14">
      <x:c r="D14" s="3"/>
      <x:c r="E14" s="3"/>
      <x:c r="F14" s="3"/>
      <x:c r="G14" s="9"/>
      <x:c r="H14" s="5"/>
      <x:c r="I14" s="5"/>
      <x:c r="J14" s="5"/>
      <x:c r="K14" s="3"/>
      <x:c r="L14" s="10"/>
      <x:c r="M14" s="11"/>
      <x:c r="N14" s="11"/>
      <x:c r="O14" s="11"/>
      <x:c r="P14" s="11"/>
      <x:c r="Q14" s="8"/>
    </x:row>
    <x:row r="15">
      <x:c r="D15" s="3"/>
      <x:c r="E15" s="3"/>
      <x:c r="F15" s="3"/>
      <x:c r="G15" s="9"/>
      <x:c r="H15" s="5"/>
      <x:c r="I15" s="5"/>
      <x:c r="J15" s="5"/>
      <x:c r="K15" s="3"/>
      <x:c r="L15" s="10"/>
      <x:c r="M15" s="11"/>
      <x:c r="N15" s="11"/>
      <x:c r="O15" s="11"/>
      <x:c r="P15" s="11"/>
      <x:c r="Q15" s="8"/>
    </x:row>
    <x:row r="16">
      <x:c r="D16" s="3"/>
      <x:c r="E16" s="3"/>
      <x:c r="F16" s="3"/>
      <x:c r="G16" s="9"/>
      <x:c r="H16" s="5"/>
      <x:c r="I16" s="5"/>
      <x:c r="J16" s="5"/>
      <x:c r="K16" s="3"/>
      <x:c r="L16" s="10"/>
      <x:c r="M16" s="11"/>
      <x:c r="N16" s="11"/>
      <x:c r="O16" s="11"/>
      <x:c r="P16" s="11"/>
      <x:c r="Q16" s="8"/>
    </x:row>
    <x:row r="17">
      <x:c r="D17" s="3"/>
      <x:c r="E17" s="3"/>
      <x:c r="F17" s="3"/>
      <x:c r="G17" s="9"/>
      <x:c r="H17" s="5"/>
      <x:c r="I17" s="5"/>
      <x:c r="J17" s="5"/>
      <x:c r="K17" s="3"/>
      <x:c r="L17" s="10"/>
      <x:c r="M17" s="11"/>
      <x:c r="N17" s="11"/>
      <x:c r="O17" s="11"/>
      <x:c r="P17" s="11"/>
      <x:c r="Q17" s="8"/>
    </x:row>
    <x:row r="18">
      <x:c r="D18" s="3"/>
      <x:c r="E18" s="3"/>
      <x:c r="F18" s="3"/>
      <x:c r="G18" s="9"/>
      <x:c r="H18" s="5"/>
      <x:c r="I18" s="5"/>
      <x:c r="J18" s="5"/>
      <x:c r="K18" s="3"/>
      <x:c r="L18" s="10"/>
      <x:c r="M18" s="11"/>
      <x:c r="N18" s="11"/>
      <x:c r="O18" s="11"/>
      <x:c r="P18" s="11"/>
      <x:c r="Q18" s="8"/>
    </x:row>
    <x:row r="19">
      <x:c r="D19" s="3"/>
      <x:c r="E19" s="3"/>
      <x:c r="F19" s="3"/>
      <x:c r="G19" s="9"/>
      <x:c r="H19" s="5"/>
      <x:c r="I19" s="5"/>
      <x:c r="J19" s="5"/>
      <x:c r="K19" s="3"/>
      <x:c r="L19" s="10"/>
      <x:c r="M19" s="11"/>
      <x:c r="N19" s="11"/>
      <x:c r="O19" s="11"/>
      <x:c r="P19" s="11"/>
      <x:c r="Q19" s="8"/>
    </x:row>
    <x:row r="20">
      <x:c r="D20" s="3"/>
      <x:c r="E20" s="3"/>
      <x:c r="F20" s="3"/>
      <x:c r="G20" s="9"/>
      <x:c r="H20" s="5"/>
      <x:c r="I20" s="5"/>
      <x:c r="J20" s="5"/>
      <x:c r="K20" s="3"/>
      <x:c r="L20" s="10"/>
      <x:c r="M20" s="11"/>
      <x:c r="N20" s="11"/>
      <x:c r="O20" s="11"/>
      <x:c r="P20" s="11"/>
      <x:c r="Q20" s="8"/>
    </x:row>
    <x:row r="21">
      <x:c r="D21" s="3"/>
      <x:c r="E21" s="3"/>
      <x:c r="F21" s="3"/>
      <x:c r="G21" s="9"/>
      <x:c r="H21" s="5"/>
      <x:c r="I21" s="5"/>
      <x:c r="J21" s="5"/>
      <x:c r="K21" s="3"/>
      <x:c r="L21" s="10"/>
      <x:c r="M21" s="11"/>
      <x:c r="N21" s="11"/>
      <x:c r="O21" s="11"/>
      <x:c r="P21" s="11"/>
      <x:c r="Q21" s="8"/>
    </x:row>
    <x:row r="22">
      <x:c r="D22" s="3"/>
      <x:c r="E22" s="3"/>
      <x:c r="F22" s="3"/>
      <x:c r="G22" s="9"/>
      <x:c r="H22" s="5"/>
      <x:c r="I22" s="5"/>
      <x:c r="J22" s="5"/>
      <x:c r="K22" s="3"/>
      <x:c r="L22" s="10"/>
      <x:c r="M22" s="11"/>
      <x:c r="N22" s="11"/>
      <x:c r="O22" s="11"/>
      <x:c r="P22" s="11"/>
      <x:c r="Q22" s="8"/>
    </x:row>
    <x:row r="23">
      <x:c r="D23" s="3"/>
      <x:c r="E23" s="3"/>
      <x:c r="F23" s="3"/>
      <x:c r="G23" s="9"/>
      <x:c r="H23" s="5"/>
      <x:c r="I23" s="5"/>
      <x:c r="J23" s="5"/>
      <x:c r="K23" s="3"/>
      <x:c r="L23" s="10"/>
      <x:c r="M23" s="11"/>
      <x:c r="N23" s="11"/>
      <x:c r="O23" s="11"/>
      <x:c r="P23" s="11"/>
      <x:c r="Q23" s="8"/>
    </x:row>
    <x:row r="24">
      <x:c r="D24" s="3"/>
      <x:c r="E24" s="3"/>
      <x:c r="F24" s="3"/>
      <x:c r="G24" s="9"/>
      <x:c r="H24" s="5"/>
      <x:c r="I24" s="5"/>
      <x:c r="J24" s="5"/>
      <x:c r="K24" s="3"/>
      <x:c r="L24" s="10"/>
      <x:c r="M24" s="11"/>
      <x:c r="N24" s="11"/>
      <x:c r="O24" s="11"/>
      <x:c r="P24" s="11"/>
      <x:c r="Q24" s="8"/>
    </x:row>
    <x:row r="25">
      <x:c r="D25" s="3"/>
      <x:c r="E25" s="3"/>
      <x:c r="F25" s="3"/>
      <x:c r="G25" s="9"/>
      <x:c r="H25" s="5"/>
      <x:c r="I25" s="5"/>
      <x:c r="J25" s="5"/>
      <x:c r="K25" s="3"/>
      <x:c r="L25" s="10"/>
      <x:c r="M25" s="11"/>
      <x:c r="N25" s="11"/>
      <x:c r="O25" s="11"/>
      <x:c r="P25" s="11"/>
      <x:c r="Q25" s="8"/>
    </x:row>
    <x:row r="26">
      <x:c r="D26" s="3"/>
      <x:c r="E26" s="3"/>
      <x:c r="F26" s="3"/>
      <x:c r="G26" s="9"/>
      <x:c r="H26" s="5"/>
      <x:c r="I26" s="5"/>
      <x:c r="J26" s="5"/>
      <x:c r="K26" s="3"/>
      <x:c r="L26" s="10"/>
      <x:c r="M26" s="11"/>
      <x:c r="N26" s="11"/>
      <x:c r="O26" s="11"/>
      <x:c r="P26" s="11"/>
      <x:c r="Q26" s="8"/>
    </x:row>
    <x:row r="27">
      <x:c r="D27" s="3"/>
      <x:c r="E27" s="3"/>
      <x:c r="F27" s="3"/>
      <x:c r="G27" s="9"/>
      <x:c r="H27" s="5"/>
      <x:c r="I27" s="5"/>
      <x:c r="J27" s="5"/>
      <x:c r="K27" s="3"/>
      <x:c r="L27" s="10"/>
      <x:c r="M27" s="11"/>
      <x:c r="N27" s="11"/>
      <x:c r="O27" s="11"/>
      <x:c r="P27" s="11"/>
      <x:c r="Q27" s="8"/>
    </x:row>
    <x:row r="28">
      <x:c r="D28" s="3"/>
      <x:c r="E28" s="3"/>
      <x:c r="F28" s="3"/>
      <x:c r="G28" s="9"/>
      <x:c r="H28" s="5"/>
      <x:c r="I28" s="5"/>
      <x:c r="J28" s="5"/>
      <x:c r="K28" s="3"/>
      <x:c r="L28" s="10"/>
      <x:c r="M28" s="11"/>
      <x:c r="N28" s="11"/>
      <x:c r="O28" s="11"/>
      <x:c r="P28" s="11"/>
      <x:c r="Q28" s="8"/>
    </x:row>
    <x:row r="29">
      <x:c r="D29" s="3"/>
      <x:c r="E29" s="3"/>
      <x:c r="F29" s="3"/>
      <x:c r="G29" s="9"/>
      <x:c r="H29" s="5"/>
      <x:c r="I29" s="5"/>
      <x:c r="J29" s="5"/>
      <x:c r="K29" s="3"/>
      <x:c r="L29" s="10"/>
      <x:c r="M29" s="11"/>
      <x:c r="N29" s="11"/>
      <x:c r="O29" s="11"/>
      <x:c r="P29" s="11"/>
      <x:c r="Q29" s="8"/>
    </x:row>
    <x:row r="30">
      <x:c r="D30" s="3"/>
      <x:c r="E30" s="3"/>
      <x:c r="F30" s="3"/>
      <x:c r="G30" s="9"/>
      <x:c r="H30" s="5"/>
      <x:c r="I30" s="5"/>
      <x:c r="J30" s="5"/>
      <x:c r="K30" s="3"/>
      <x:c r="L30" s="10"/>
      <x:c r="M30" s="11"/>
      <x:c r="N30" s="11"/>
      <x:c r="O30" s="11"/>
      <x:c r="P30" s="11"/>
      <x:c r="Q30" s="8"/>
    </x:row>
    <x:row r="31">
      <x:c r="D31" s="3"/>
      <x:c r="E31" s="3"/>
      <x:c r="F31" s="3"/>
      <x:c r="G31" s="9"/>
      <x:c r="H31" s="5"/>
      <x:c r="I31" s="5"/>
      <x:c r="J31" s="5"/>
      <x:c r="K31" s="3"/>
      <x:c r="L31" s="10"/>
      <x:c r="M31" s="11"/>
      <x:c r="N31" s="11"/>
      <x:c r="O31" s="11"/>
      <x:c r="P31" s="11"/>
      <x:c r="Q31" s="8"/>
    </x:row>
    <x:row r="32">
      <x:c r="D32" s="3"/>
      <x:c r="E32" s="3"/>
      <x:c r="F32" s="3"/>
      <x:c r="G32" s="9"/>
      <x:c r="H32" s="5"/>
      <x:c r="I32" s="5"/>
      <x:c r="J32" s="5"/>
      <x:c r="K32" s="3"/>
      <x:c r="L32" s="10"/>
      <x:c r="M32" s="11"/>
      <x:c r="N32" s="11"/>
      <x:c r="O32" s="11"/>
      <x:c r="P32" s="11"/>
      <x:c r="Q32" s="8"/>
    </x:row>
    <x:row r="33">
      <x:c r="D33" s="3"/>
      <x:c r="E33" s="3"/>
      <x:c r="F33" s="3"/>
      <x:c r="G33" s="9"/>
      <x:c r="H33" s="5"/>
      <x:c r="I33" s="5"/>
      <x:c r="J33" s="5"/>
      <x:c r="K33" s="3"/>
      <x:c r="L33" s="10"/>
      <x:c r="M33" s="11"/>
      <x:c r="N33" s="11"/>
      <x:c r="O33" s="11"/>
      <x:c r="P33" s="11"/>
      <x:c r="Q33" s="8"/>
    </x:row>
    <x:row r="34">
      <x:c r="D34" s="3"/>
      <x:c r="E34" s="3"/>
      <x:c r="F34" s="3"/>
      <x:c r="G34" s="9"/>
      <x:c r="H34" s="5"/>
      <x:c r="I34" s="5"/>
      <x:c r="J34" s="5"/>
      <x:c r="K34" s="3"/>
      <x:c r="L34" s="10"/>
      <x:c r="M34" s="11"/>
      <x:c r="N34" s="11"/>
      <x:c r="O34" s="11"/>
      <x:c r="P34" s="11"/>
      <x:c r="Q34" s="8"/>
    </x:row>
    <x:row r="35">
      <x:c r="D35" s="3"/>
      <x:c r="E35" s="3"/>
      <x:c r="F35" s="3"/>
      <x:c r="G35" s="9"/>
      <x:c r="H35" s="5"/>
      <x:c r="I35" s="5"/>
      <x:c r="J35" s="5"/>
      <x:c r="K35" s="3"/>
      <x:c r="L35" s="10"/>
      <x:c r="M35" s="11"/>
      <x:c r="N35" s="11"/>
      <x:c r="O35" s="11"/>
      <x:c r="P35" s="11"/>
      <x:c r="Q35" s="8"/>
    </x:row>
    <x:row r="36">
      <x:c r="D36" s="3"/>
      <x:c r="E36" s="3"/>
      <x:c r="F36" s="3"/>
      <x:c r="G36" s="9"/>
      <x:c r="H36" s="5"/>
      <x:c r="I36" s="5"/>
      <x:c r="J36" s="5"/>
      <x:c r="K36" s="3"/>
      <x:c r="L36" s="10"/>
      <x:c r="M36" s="11"/>
      <x:c r="N36" s="11"/>
      <x:c r="O36" s="11"/>
      <x:c r="P36" s="11"/>
      <x:c r="Q36" s="8"/>
    </x:row>
    <x:row r="37">
      <x:c r="D37" s="3"/>
      <x:c r="E37" s="3"/>
      <x:c r="F37" s="3"/>
      <x:c r="G37" s="9"/>
      <x:c r="H37" s="5"/>
      <x:c r="I37" s="5"/>
      <x:c r="J37" s="5"/>
      <x:c r="K37" s="3"/>
      <x:c r="L37" s="10"/>
      <x:c r="M37" s="11"/>
      <x:c r="N37" s="11"/>
      <x:c r="O37" s="11"/>
      <x:c r="P37" s="11"/>
      <x:c r="Q37" s="8"/>
    </x:row>
    <x:row r="38">
      <x:c r="D38" s="3"/>
      <x:c r="E38" s="3"/>
      <x:c r="F38" s="3"/>
      <x:c r="G38" s="9"/>
      <x:c r="H38" s="5"/>
      <x:c r="I38" s="5"/>
      <x:c r="J38" s="5"/>
      <x:c r="K38" s="3"/>
      <x:c r="L38" s="10"/>
      <x:c r="M38" s="11"/>
      <x:c r="N38" s="11"/>
      <x:c r="O38" s="11"/>
      <x:c r="P38" s="11"/>
      <x:c r="Q38" s="8"/>
    </x:row>
    <x:row r="39">
      <x:c r="D39" s="3"/>
      <x:c r="E39" s="3"/>
      <x:c r="F39" s="3"/>
      <x:c r="G39" s="9"/>
      <x:c r="H39" s="5"/>
      <x:c r="I39" s="5"/>
      <x:c r="J39" s="5"/>
      <x:c r="K39" s="3"/>
      <x:c r="L39" s="10"/>
      <x:c r="M39" s="11"/>
      <x:c r="N39" s="11"/>
      <x:c r="O39" s="11"/>
      <x:c r="P39" s="11"/>
      <x:c r="Q39" s="8"/>
    </x:row>
    <x:row r="40">
      <x:c r="D40" s="3"/>
      <x:c r="E40" s="3"/>
      <x:c r="F40" s="3"/>
      <x:c r="G40" s="9"/>
      <x:c r="H40" s="5"/>
      <x:c r="I40" s="5"/>
      <x:c r="J40" s="5"/>
      <x:c r="K40" s="3"/>
      <x:c r="L40" s="10"/>
      <x:c r="M40" s="11"/>
      <x:c r="N40" s="11"/>
      <x:c r="O40" s="11"/>
      <x:c r="P40" s="11"/>
      <x:c r="Q40" s="8"/>
    </x:row>
    <x:row r="41">
      <x:c r="D41" s="3"/>
      <x:c r="E41" s="3"/>
      <x:c r="F41" s="3"/>
      <x:c r="G41" s="9"/>
      <x:c r="H41" s="5"/>
      <x:c r="I41" s="5"/>
      <x:c r="J41" s="5"/>
      <x:c r="K41" s="3"/>
      <x:c r="L41" s="10"/>
      <x:c r="M41" s="11"/>
      <x:c r="N41" s="11"/>
      <x:c r="O41" s="11"/>
      <x:c r="P41" s="11"/>
      <x:c r="Q41" s="8"/>
    </x:row>
    <x:row r="42">
      <x:c r="D42" s="3"/>
      <x:c r="E42" s="3"/>
      <x:c r="F42" s="3"/>
      <x:c r="G42" s="9"/>
      <x:c r="H42" s="5"/>
      <x:c r="I42" s="5"/>
      <x:c r="J42" s="5"/>
      <x:c r="K42" s="3"/>
      <x:c r="L42" s="10"/>
      <x:c r="M42" s="11"/>
      <x:c r="N42" s="11"/>
      <x:c r="O42" s="11"/>
      <x:c r="P42" s="11"/>
      <x:c r="Q42" s="8"/>
    </x:row>
    <x:row r="43">
      <x:c r="D43" s="3"/>
      <x:c r="E43" s="3"/>
      <x:c r="F43" s="3"/>
      <x:c r="G43" s="9"/>
      <x:c r="H43" s="5"/>
      <x:c r="I43" s="5"/>
      <x:c r="J43" s="5"/>
      <x:c r="K43" s="3"/>
      <x:c r="L43" s="10"/>
      <x:c r="M43" s="11"/>
      <x:c r="N43" s="11"/>
      <x:c r="O43" s="11"/>
      <x:c r="P43" s="11"/>
      <x:c r="Q43" s="8"/>
    </x:row>
    <x:row r="44">
      <x:c r="D44" s="3"/>
      <x:c r="E44" s="3"/>
      <x:c r="F44" s="3"/>
      <x:c r="G44" s="9"/>
      <x:c r="H44" s="5"/>
      <x:c r="I44" s="5"/>
      <x:c r="J44" s="5"/>
      <x:c r="K44" s="3"/>
      <x:c r="L44" s="10"/>
      <x:c r="M44" s="11"/>
      <x:c r="N44" s="11"/>
      <x:c r="O44" s="11"/>
      <x:c r="P44" s="11"/>
      <x:c r="Q44" s="8"/>
    </x:row>
    <x:row r="45">
      <x:c r="D45" s="3"/>
      <x:c r="E45" s="3"/>
      <x:c r="F45" s="3"/>
      <x:c r="G45" s="9"/>
      <x:c r="H45" s="5"/>
      <x:c r="I45" s="5"/>
      <x:c r="J45" s="5"/>
      <x:c r="K45" s="3"/>
      <x:c r="L45" s="10"/>
      <x:c r="M45" s="11"/>
      <x:c r="N45" s="11"/>
      <x:c r="O45" s="11"/>
      <x:c r="P45" s="11"/>
      <x:c r="Q45" s="8"/>
    </x:row>
    <x:row r="46">
      <x:c r="D46" s="3"/>
      <x:c r="E46" s="3"/>
      <x:c r="F46" s="3"/>
      <x:c r="G46" s="9"/>
      <x:c r="H46" s="5"/>
      <x:c r="I46" s="5"/>
      <x:c r="J46" s="5"/>
      <x:c r="K46" s="3"/>
      <x:c r="L46" s="10"/>
      <x:c r="M46" s="11"/>
      <x:c r="N46" s="11"/>
      <x:c r="O46" s="11"/>
      <x:c r="P46" s="11"/>
      <x:c r="Q46" s="8"/>
    </x:row>
    <x:row r="47">
      <x:c r="D47" s="3"/>
      <x:c r="E47" s="3"/>
      <x:c r="F47" s="3"/>
      <x:c r="G47" s="9"/>
      <x:c r="H47" s="5"/>
      <x:c r="I47" s="5"/>
      <x:c r="J47" s="5"/>
      <x:c r="K47" s="3"/>
      <x:c r="L47" s="10"/>
      <x:c r="M47" s="11"/>
      <x:c r="N47" s="11"/>
      <x:c r="O47" s="11"/>
      <x:c r="P47" s="11"/>
      <x:c r="Q47" s="8"/>
    </x:row>
    <x:row r="48">
      <x:c r="D48" s="3"/>
      <x:c r="E48" s="3"/>
      <x:c r="F48" s="3"/>
      <x:c r="G48" s="9"/>
      <x:c r="H48" s="5"/>
      <x:c r="I48" s="5"/>
      <x:c r="J48" s="5"/>
      <x:c r="K48" s="3"/>
      <x:c r="L48" s="10"/>
      <x:c r="M48" s="11"/>
      <x:c r="N48" s="11"/>
      <x:c r="O48" s="11"/>
      <x:c r="P48" s="11"/>
      <x:c r="Q48" s="8"/>
    </x:row>
    <x:row r="49">
      <x:c r="D49" s="3"/>
      <x:c r="E49" s="3"/>
      <x:c r="F49" s="3"/>
      <x:c r="G49" s="9"/>
      <x:c r="H49" s="5"/>
      <x:c r="I49" s="5"/>
      <x:c r="J49" s="5"/>
      <x:c r="K49" s="3"/>
      <x:c r="L49" s="10"/>
      <x:c r="M49" s="11"/>
      <x:c r="N49" s="11"/>
      <x:c r="O49" s="11"/>
      <x:c r="P49" s="11"/>
      <x:c r="Q49" s="8"/>
    </x:row>
    <x:row r="50">
      <x:c r="D50" s="3"/>
      <x:c r="E50" s="3"/>
      <x:c r="F50" s="3"/>
      <x:c r="G50" s="9"/>
      <x:c r="H50" s="5"/>
      <x:c r="I50" s="5"/>
      <x:c r="J50" s="5"/>
      <x:c r="K50" s="3"/>
      <x:c r="L50" s="10"/>
      <x:c r="M50" s="11"/>
      <x:c r="N50" s="11"/>
      <x:c r="O50" s="11"/>
      <x:c r="P50" s="11"/>
      <x:c r="Q50" s="8"/>
    </x:row>
    <x:row r="51">
      <x:c r="D51" s="3"/>
      <x:c r="E51" s="3"/>
      <x:c r="F51" s="3"/>
      <x:c r="G51" s="9"/>
      <x:c r="H51" s="5"/>
      <x:c r="I51" s="5"/>
      <x:c r="J51" s="5"/>
      <x:c r="K51" s="3"/>
      <x:c r="L51" s="10"/>
      <x:c r="M51" s="11"/>
      <x:c r="N51" s="11"/>
      <x:c r="O51" s="11"/>
      <x:c r="P51" s="11"/>
      <x:c r="Q51" s="8"/>
    </x:row>
    <x:row r="52">
      <x:c r="D52" s="3"/>
      <x:c r="E52" s="3"/>
      <x:c r="F52" s="3"/>
      <x:c r="G52" s="9"/>
      <x:c r="H52" s="5"/>
      <x:c r="I52" s="5"/>
      <x:c r="J52" s="5"/>
      <x:c r="K52" s="3"/>
      <x:c r="L52" s="10"/>
      <x:c r="M52" s="11"/>
      <x:c r="N52" s="11"/>
      <x:c r="O52" s="11"/>
      <x:c r="P52" s="11"/>
      <x:c r="Q52" s="8"/>
    </x:row>
    <x:row r="53">
      <x:c r="D53" s="3"/>
      <x:c r="E53" s="3"/>
      <x:c r="F53" s="3"/>
      <x:c r="G53" s="9"/>
      <x:c r="H53" s="5"/>
      <x:c r="I53" s="5"/>
      <x:c r="J53" s="5"/>
      <x:c r="K53" s="3"/>
      <x:c r="L53" s="10"/>
      <x:c r="M53" s="11"/>
      <x:c r="N53" s="11"/>
      <x:c r="O53" s="11"/>
      <x:c r="P53" s="11"/>
      <x:c r="Q53" s="8"/>
    </x:row>
    <x:row r="54">
      <x:c r="D54" s="3"/>
      <x:c r="E54" s="3"/>
      <x:c r="F54" s="3"/>
      <x:c r="G54" s="9"/>
      <x:c r="H54" s="5"/>
      <x:c r="I54" s="5"/>
      <x:c r="J54" s="5"/>
      <x:c r="K54" s="3"/>
      <x:c r="L54" s="10"/>
      <x:c r="M54" s="11"/>
      <x:c r="N54" s="11"/>
      <x:c r="O54" s="11"/>
      <x:c r="P54" s="11"/>
      <x:c r="Q54" s="8"/>
    </x:row>
    <x:row r="55">
      <x:c r="D55" s="3"/>
      <x:c r="E55" s="3"/>
      <x:c r="F55" s="3"/>
      <x:c r="G55" s="9"/>
      <x:c r="H55" s="5"/>
      <x:c r="I55" s="5"/>
      <x:c r="J55" s="5"/>
      <x:c r="K55" s="3"/>
      <x:c r="L55" s="10"/>
      <x:c r="M55" s="11"/>
      <x:c r="N55" s="11"/>
      <x:c r="O55" s="11"/>
      <x:c r="P55" s="11"/>
      <x:c r="Q55" s="8"/>
    </x:row>
    <x:row r="56">
      <x:c r="D56" s="3"/>
      <x:c r="E56" s="3"/>
      <x:c r="F56" s="3"/>
      <x:c r="G56" s="9"/>
      <x:c r="H56" s="5"/>
      <x:c r="I56" s="5"/>
      <x:c r="J56" s="5"/>
      <x:c r="K56" s="3"/>
      <x:c r="L56" s="10"/>
      <x:c r="M56" s="11"/>
      <x:c r="N56" s="11"/>
      <x:c r="O56" s="11"/>
      <x:c r="P56" s="11"/>
      <x:c r="Q56" s="8"/>
    </x:row>
    <x:row r="57">
      <x:c r="D57" s="3"/>
      <x:c r="E57" s="3"/>
      <x:c r="F57" s="3"/>
      <x:c r="G57" s="9"/>
      <x:c r="H57" s="5"/>
      <x:c r="I57" s="5"/>
      <x:c r="J57" s="5"/>
      <x:c r="K57" s="3"/>
      <x:c r="L57" s="10"/>
      <x:c r="M57" s="11"/>
      <x:c r="N57" s="11"/>
      <x:c r="O57" s="11"/>
      <x:c r="P57" s="11"/>
      <x:c r="Q57" s="8"/>
    </x:row>
    <x:row r="58">
      <x:c r="D58" s="3"/>
      <x:c r="E58" s="3"/>
      <x:c r="F58" s="3"/>
      <x:c r="G58" s="9"/>
      <x:c r="H58" s="5"/>
      <x:c r="I58" s="5"/>
      <x:c r="J58" s="5"/>
      <x:c r="K58" s="3"/>
      <x:c r="L58" s="10"/>
      <x:c r="M58" s="11"/>
      <x:c r="N58" s="11"/>
      <x:c r="O58" s="11"/>
      <x:c r="P58" s="11"/>
      <x:c r="Q58" s="8"/>
    </x:row>
    <x:row r="59">
      <x:c r="D59" s="3"/>
      <x:c r="E59" s="3"/>
      <x:c r="F59" s="3"/>
      <x:c r="G59" s="9"/>
      <x:c r="H59" s="5"/>
      <x:c r="I59" s="5"/>
      <x:c r="J59" s="5"/>
      <x:c r="K59" s="3"/>
      <x:c r="L59" s="10"/>
      <x:c r="M59" s="11"/>
      <x:c r="N59" s="11"/>
      <x:c r="O59" s="11"/>
      <x:c r="P59" s="11"/>
      <x:c r="Q59" s="8"/>
    </x:row>
    <x:row r="60">
      <x:c r="D60" s="3"/>
      <x:c r="E60" s="3"/>
      <x:c r="F60" s="3"/>
      <x:c r="G60" s="9"/>
      <x:c r="H60" s="5"/>
      <x:c r="I60" s="5"/>
      <x:c r="J60" s="5"/>
      <x:c r="K60" s="3"/>
      <x:c r="L60" s="10"/>
      <x:c r="M60" s="11"/>
      <x:c r="N60" s="11"/>
      <x:c r="O60" s="11"/>
      <x:c r="P60" s="11"/>
      <x:c r="Q60" s="8"/>
    </x:row>
    <x:row r="61">
      <x:c r="D61" s="3"/>
      <x:c r="E61" s="3"/>
      <x:c r="F61" s="3"/>
      <x:c r="G61" s="9"/>
      <x:c r="H61" s="5"/>
      <x:c r="I61" s="5"/>
      <x:c r="J61" s="5"/>
      <x:c r="K61" s="3"/>
      <x:c r="L61" s="10"/>
      <x:c r="M61" s="11"/>
      <x:c r="N61" s="11"/>
      <x:c r="O61" s="11"/>
      <x:c r="P61" s="11"/>
      <x:c r="Q61" s="8"/>
    </x:row>
    <x:row r="62">
      <x:c r="D62" s="3"/>
      <x:c r="E62" s="3"/>
      <x:c r="F62" s="3"/>
      <x:c r="G62" s="9"/>
      <x:c r="H62" s="5"/>
      <x:c r="I62" s="5"/>
      <x:c r="J62" s="5"/>
      <x:c r="K62" s="3"/>
      <x:c r="L62" s="10"/>
      <x:c r="M62" s="11"/>
      <x:c r="N62" s="11"/>
      <x:c r="O62" s="11"/>
      <x:c r="P62" s="11"/>
      <x:c r="Q62" s="8"/>
    </x:row>
    <x:row r="63">
      <x:c r="D63" s="3"/>
      <x:c r="E63" s="3"/>
      <x:c r="F63" s="3"/>
      <x:c r="G63" s="9"/>
      <x:c r="H63" s="5"/>
      <x:c r="I63" s="5"/>
      <x:c r="J63" s="5"/>
      <x:c r="K63" s="3"/>
      <x:c r="L63" s="10"/>
      <x:c r="M63" s="11"/>
      <x:c r="N63" s="11"/>
      <x:c r="O63" s="11"/>
      <x:c r="P63" s="11"/>
      <x:c r="Q63" s="8"/>
    </x:row>
    <x:row r="64">
      <x:c r="D64" s="3"/>
      <x:c r="E64" s="3"/>
      <x:c r="F64" s="3"/>
      <x:c r="G64" s="9"/>
      <x:c r="H64" s="5"/>
      <x:c r="I64" s="5"/>
      <x:c r="J64" s="5"/>
      <x:c r="K64" s="3"/>
      <x:c r="L64" s="10"/>
      <x:c r="M64" s="11"/>
      <x:c r="N64" s="11"/>
      <x:c r="O64" s="11"/>
      <x:c r="P64" s="11"/>
      <x:c r="Q64" s="8"/>
    </x:row>
    <x:row r="65">
      <x:c r="D65" s="3"/>
      <x:c r="E65" s="3"/>
      <x:c r="F65" s="3"/>
      <x:c r="G65" s="9"/>
      <x:c r="H65" s="5"/>
      <x:c r="I65" s="5"/>
      <x:c r="J65" s="5"/>
      <x:c r="K65" s="3"/>
      <x:c r="L65" s="10"/>
      <x:c r="M65" s="11"/>
      <x:c r="N65" s="11"/>
      <x:c r="O65" s="11"/>
      <x:c r="P65" s="11"/>
      <x:c r="Q65" s="8"/>
    </x:row>
    <x:row r="66">
      <x:c r="D66" s="3"/>
      <x:c r="E66" s="3"/>
      <x:c r="F66" s="3"/>
      <x:c r="G66" s="9"/>
      <x:c r="H66" s="5"/>
      <x:c r="I66" s="5"/>
      <x:c r="J66" s="5"/>
      <x:c r="K66" s="3"/>
      <x:c r="L66" s="10"/>
      <x:c r="M66" s="11"/>
      <x:c r="N66" s="11"/>
      <x:c r="O66" s="11"/>
      <x:c r="P66" s="11"/>
      <x:c r="Q66" s="8"/>
    </x:row>
    <x:row r="67">
      <x:c r="D67" s="3"/>
      <x:c r="E67" s="3"/>
      <x:c r="F67" s="3"/>
      <x:c r="G67" s="9"/>
      <x:c r="H67" s="5"/>
      <x:c r="I67" s="5"/>
      <x:c r="J67" s="5"/>
      <x:c r="K67" s="3"/>
      <x:c r="L67" s="10"/>
      <x:c r="M67" s="11"/>
      <x:c r="N67" s="11"/>
      <x:c r="O67" s="11"/>
      <x:c r="P67" s="11"/>
      <x:c r="Q67" s="8"/>
    </x:row>
    <x:row r="68">
      <x:c r="D68" s="3"/>
      <x:c r="E68" s="3"/>
      <x:c r="F68" s="3"/>
      <x:c r="G68" s="9"/>
      <x:c r="H68" s="5"/>
      <x:c r="I68" s="5"/>
      <x:c r="J68" s="5"/>
      <x:c r="K68" s="3"/>
      <x:c r="L68" s="10"/>
      <x:c r="M68" s="11"/>
      <x:c r="N68" s="11"/>
      <x:c r="O68" s="11"/>
      <x:c r="P68" s="11"/>
      <x:c r="Q68" s="8"/>
    </x:row>
    <x:row r="69">
      <x:c r="D69" s="3"/>
      <x:c r="E69" s="3"/>
      <x:c r="F69" s="3"/>
      <x:c r="G69" s="9"/>
      <x:c r="H69" s="5"/>
      <x:c r="I69" s="5"/>
      <x:c r="J69" s="5"/>
      <x:c r="K69" s="3"/>
      <x:c r="L69" s="10"/>
      <x:c r="M69" s="11"/>
      <x:c r="N69" s="11"/>
      <x:c r="O69" s="11"/>
      <x:c r="P69" s="11"/>
      <x:c r="Q69" s="8"/>
    </x:row>
    <x:row r="70">
      <x:c r="D70" s="3"/>
      <x:c r="E70" s="3"/>
      <x:c r="F70" s="3"/>
      <x:c r="G70" s="9"/>
      <x:c r="H70" s="5"/>
      <x:c r="I70" s="5"/>
      <x:c r="J70" s="5"/>
      <x:c r="K70" s="3"/>
      <x:c r="L70" s="10"/>
      <x:c r="M70" s="11"/>
      <x:c r="N70" s="11"/>
      <x:c r="O70" s="11"/>
      <x:c r="P70" s="11"/>
      <x:c r="Q70" s="8"/>
    </x:row>
    <x:row r="71">
      <x:c r="D71" s="3"/>
      <x:c r="E71" s="3"/>
      <x:c r="F71" s="3"/>
      <x:c r="G71" s="9"/>
      <x:c r="H71" s="5"/>
      <x:c r="I71" s="5"/>
      <x:c r="J71" s="5"/>
      <x:c r="K71" s="3"/>
      <x:c r="L71" s="10"/>
      <x:c r="M71" s="11"/>
      <x:c r="N71" s="11"/>
      <x:c r="O71" s="11"/>
      <x:c r="P71" s="11"/>
      <x:c r="Q71" s="8"/>
    </x:row>
    <x:row r="72">
      <x:c r="D72" s="3"/>
      <x:c r="E72" s="3"/>
      <x:c r="F72" s="3"/>
      <x:c r="G72" s="9"/>
      <x:c r="H72" s="5"/>
      <x:c r="I72" s="5"/>
      <x:c r="J72" s="5"/>
      <x:c r="K72" s="3"/>
      <x:c r="L72" s="10"/>
      <x:c r="M72" s="11"/>
      <x:c r="N72" s="11"/>
      <x:c r="O72" s="11"/>
      <x:c r="P72" s="11"/>
      <x:c r="Q72" s="8"/>
    </x:row>
    <x:row r="73">
      <x:c r="D73" s="3"/>
      <x:c r="E73" s="3"/>
      <x:c r="F73" s="3"/>
      <x:c r="G73" s="9"/>
      <x:c r="H73" s="5"/>
      <x:c r="I73" s="5"/>
      <x:c r="J73" s="5"/>
      <x:c r="K73" s="3"/>
      <x:c r="L73" s="10"/>
      <x:c r="M73" s="11"/>
      <x:c r="N73" s="11"/>
      <x:c r="O73" s="11"/>
      <x:c r="P73" s="11"/>
      <x:c r="Q73" s="8"/>
    </x:row>
    <x:row r="74">
      <x:c r="D74" s="3"/>
      <x:c r="E74" s="3"/>
      <x:c r="F74" s="3"/>
      <x:c r="G74" s="9"/>
      <x:c r="H74" s="5"/>
      <x:c r="I74" s="5"/>
      <x:c r="J74" s="5"/>
      <x:c r="K74" s="3"/>
      <x:c r="L74" s="10"/>
      <x:c r="M74" s="11"/>
      <x:c r="N74" s="11"/>
      <x:c r="O74" s="11"/>
      <x:c r="P74" s="11"/>
      <x:c r="Q74" s="8"/>
    </x:row>
    <x:row r="75">
      <x:c r="D75" s="3"/>
      <x:c r="E75" s="3"/>
      <x:c r="F75" s="3"/>
      <x:c r="G75" s="9"/>
      <x:c r="H75" s="5"/>
      <x:c r="I75" s="5"/>
      <x:c r="J75" s="5"/>
      <x:c r="K75" s="3"/>
      <x:c r="L75" s="10"/>
      <x:c r="M75" s="11"/>
      <x:c r="N75" s="11"/>
      <x:c r="O75" s="11"/>
      <x:c r="P75" s="11"/>
      <x:c r="Q75" s="8"/>
    </x:row>
    <x:row r="76">
      <x:c r="D76" s="3"/>
      <x:c r="E76" s="3"/>
      <x:c r="F76" s="3"/>
      <x:c r="G76" s="9"/>
      <x:c r="H76" s="5"/>
      <x:c r="I76" s="5"/>
      <x:c r="J76" s="5"/>
      <x:c r="K76" s="3"/>
      <x:c r="L76" s="10"/>
      <x:c r="M76" s="11"/>
      <x:c r="N76" s="11"/>
      <x:c r="O76" s="11"/>
      <x:c r="P76" s="11"/>
      <x:c r="Q76" s="8"/>
    </x:row>
    <x:row r="77">
      <x:c r="D77" s="3"/>
      <x:c r="E77" s="3"/>
      <x:c r="F77" s="3"/>
      <x:c r="G77" s="9"/>
      <x:c r="H77" s="5"/>
      <x:c r="I77" s="5"/>
      <x:c r="J77" s="5"/>
      <x:c r="K77" s="3"/>
      <x:c r="L77" s="10"/>
      <x:c r="M77" s="11"/>
      <x:c r="N77" s="11"/>
      <x:c r="O77" s="11"/>
      <x:c r="P77" s="11"/>
      <x:c r="Q77" s="8"/>
    </x:row>
    <x:row r="78">
      <x:c r="D78" s="3"/>
      <x:c r="E78" s="3"/>
      <x:c r="F78" s="3"/>
      <x:c r="G78" s="9"/>
      <x:c r="H78" s="5"/>
      <x:c r="I78" s="5"/>
      <x:c r="J78" s="5"/>
      <x:c r="K78" s="3"/>
      <x:c r="L78" s="10"/>
      <x:c r="M78" s="11"/>
      <x:c r="N78" s="11"/>
      <x:c r="O78" s="11"/>
      <x:c r="P78" s="11"/>
      <x:c r="Q78" s="8"/>
    </x:row>
    <x:row r="79">
      <x:c r="D79" s="3"/>
      <x:c r="E79" s="3"/>
      <x:c r="F79" s="3"/>
      <x:c r="G79" s="9"/>
      <x:c r="H79" s="5"/>
      <x:c r="I79" s="5"/>
      <x:c r="J79" s="5"/>
      <x:c r="K79" s="3"/>
      <x:c r="L79" s="10"/>
      <x:c r="M79" s="11"/>
      <x:c r="N79" s="11"/>
      <x:c r="O79" s="11"/>
      <x:c r="P79" s="11"/>
      <x:c r="Q79" s="8"/>
    </x:row>
    <x:row r="80">
      <x:c r="D80" s="3"/>
      <x:c r="E80" s="3"/>
      <x:c r="F80" s="3"/>
      <x:c r="G80" s="9"/>
      <x:c r="H80" s="5"/>
      <x:c r="I80" s="5"/>
      <x:c r="J80" s="5"/>
      <x:c r="K80" s="3"/>
      <x:c r="L80" s="10"/>
      <x:c r="M80" s="11"/>
      <x:c r="N80" s="11"/>
      <x:c r="O80" s="11"/>
      <x:c r="P80" s="11"/>
      <x:c r="Q80" s="8"/>
    </x:row>
    <x:row r="81">
      <x:c r="D81" s="3"/>
      <x:c r="E81" s="3"/>
      <x:c r="F81" s="3"/>
      <x:c r="G81" s="9"/>
      <x:c r="H81" s="5"/>
      <x:c r="I81" s="5"/>
      <x:c r="J81" s="5"/>
      <x:c r="K81" s="3"/>
      <x:c r="L81" s="10"/>
      <x:c r="M81" s="11"/>
      <x:c r="N81" s="11"/>
      <x:c r="O81" s="11"/>
      <x:c r="P81" s="11"/>
      <x:c r="Q81" s="8"/>
    </x:row>
    <x:row r="82">
      <x:c r="D82" s="3"/>
      <x:c r="E82" s="3"/>
      <x:c r="F82" s="3"/>
      <x:c r="G82" s="9"/>
      <x:c r="H82" s="5"/>
      <x:c r="I82" s="5"/>
      <x:c r="J82" s="5"/>
      <x:c r="K82" s="3"/>
      <x:c r="L82" s="10"/>
      <x:c r="M82" s="11"/>
      <x:c r="N82" s="11"/>
      <x:c r="O82" s="11"/>
      <x:c r="P82" s="11"/>
      <x:c r="Q82" s="8"/>
    </x:row>
    <x:row r="83">
      <x:c r="D83" s="3"/>
      <x:c r="E83" s="3"/>
      <x:c r="F83" s="3"/>
      <x:c r="G83" s="9"/>
      <x:c r="H83" s="5"/>
      <x:c r="I83" s="5"/>
      <x:c r="J83" s="5"/>
      <x:c r="K83" s="3"/>
      <x:c r="L83" s="10"/>
      <x:c r="M83" s="11"/>
      <x:c r="N83" s="11"/>
      <x:c r="O83" s="11"/>
      <x:c r="P83" s="11"/>
      <x:c r="Q83" s="8"/>
    </x:row>
    <x:row r="84">
      <x:c r="D84" s="3"/>
      <x:c r="E84" s="3"/>
      <x:c r="F84" s="3"/>
      <x:c r="G84" s="9"/>
      <x:c r="H84" s="5"/>
      <x:c r="I84" s="5"/>
      <x:c r="J84" s="5"/>
      <x:c r="K84" s="3"/>
      <x:c r="L84" s="10"/>
      <x:c r="M84" s="11"/>
      <x:c r="N84" s="11"/>
      <x:c r="O84" s="11"/>
      <x:c r="P84" s="11"/>
      <x:c r="Q84" s="8"/>
    </x:row>
    <x:row r="85">
      <x:c r="D85" s="3"/>
      <x:c r="E85" s="3"/>
      <x:c r="F85" s="3"/>
      <x:c r="G85" s="9"/>
      <x:c r="H85" s="5"/>
      <x:c r="I85" s="5"/>
      <x:c r="J85" s="5"/>
      <x:c r="K85" s="3"/>
      <x:c r="L85" s="10"/>
      <x:c r="M85" s="11"/>
      <x:c r="N85" s="11"/>
      <x:c r="O85" s="11"/>
      <x:c r="P85" s="11"/>
      <x:c r="Q85" s="8"/>
    </x:row>
    <x:row r="86">
      <x:c r="D86" s="3"/>
      <x:c r="E86" s="3"/>
      <x:c r="F86" s="3"/>
      <x:c r="G86" s="9"/>
      <x:c r="H86" s="5"/>
      <x:c r="I86" s="5"/>
      <x:c r="J86" s="5"/>
      <x:c r="K86" s="3"/>
      <x:c r="L86" s="10"/>
      <x:c r="M86" s="11"/>
      <x:c r="N86" s="11"/>
      <x:c r="O86" s="11"/>
      <x:c r="P86" s="11"/>
      <x:c r="Q86" s="8"/>
    </x:row>
    <x:row r="87">
      <x:c r="D87" s="3"/>
      <x:c r="E87" s="3"/>
      <x:c r="F87" s="3"/>
      <x:c r="G87" s="9"/>
      <x:c r="H87" s="5"/>
      <x:c r="I87" s="5"/>
      <x:c r="J87" s="5"/>
      <x:c r="K87" s="3"/>
      <x:c r="L87" s="10"/>
      <x:c r="M87" s="11"/>
      <x:c r="N87" s="11"/>
      <x:c r="O87" s="11"/>
      <x:c r="P87" s="11"/>
      <x:c r="Q87" s="8"/>
    </x:row>
    <x:row r="88">
      <x:c r="D88" s="3"/>
      <x:c r="E88" s="3"/>
      <x:c r="F88" s="3"/>
      <x:c r="G88" s="9"/>
      <x:c r="H88" s="5"/>
      <x:c r="I88" s="5"/>
      <x:c r="J88" s="5"/>
      <x:c r="K88" s="3"/>
      <x:c r="L88" s="10"/>
      <x:c r="M88" s="11"/>
      <x:c r="N88" s="11"/>
      <x:c r="O88" s="11"/>
      <x:c r="P88" s="11"/>
      <x:c r="Q88" s="8"/>
    </x:row>
    <x:row r="89">
      <x:c r="D89" s="3"/>
      <x:c r="E89" s="3"/>
      <x:c r="F89" s="3"/>
      <x:c r="G89" s="9"/>
      <x:c r="H89" s="5"/>
      <x:c r="I89" s="5"/>
      <x:c r="J89" s="5"/>
      <x:c r="K89" s="3"/>
      <x:c r="L89" s="10"/>
      <x:c r="M89" s="11"/>
      <x:c r="N89" s="11"/>
      <x:c r="O89" s="11"/>
      <x:c r="P89" s="11"/>
      <x:c r="Q89" s="8"/>
    </x:row>
    <x:row r="90">
      <x:c r="D90" s="3"/>
      <x:c r="E90" s="3"/>
      <x:c r="F90" s="3"/>
      <x:c r="G90" s="9"/>
      <x:c r="H90" s="5"/>
      <x:c r="I90" s="5"/>
      <x:c r="J90" s="5"/>
      <x:c r="K90" s="3"/>
      <x:c r="L90" s="10"/>
      <x:c r="M90" s="11"/>
      <x:c r="N90" s="11"/>
      <x:c r="O90" s="11"/>
      <x:c r="P90" s="11"/>
      <x:c r="Q90" s="8"/>
    </x:row>
    <x:row r="91">
      <x:c r="D91" s="3"/>
      <x:c r="E91" s="3"/>
      <x:c r="F91" s="3"/>
      <x:c r="G91" s="9"/>
      <x:c r="H91" s="5"/>
      <x:c r="I91" s="5"/>
      <x:c r="J91" s="5"/>
      <x:c r="K91" s="3"/>
      <x:c r="L91" s="10"/>
      <x:c r="M91" s="11"/>
      <x:c r="N91" s="11"/>
      <x:c r="O91" s="11"/>
      <x:c r="P91" s="11"/>
      <x:c r="Q91" s="8"/>
    </x:row>
    <x:row r="92">
      <x:c r="D92" s="3"/>
      <x:c r="E92" s="3"/>
      <x:c r="F92" s="3"/>
      <x:c r="G92" s="9"/>
      <x:c r="H92" s="5"/>
      <x:c r="I92" s="5"/>
      <x:c r="J92" s="5"/>
      <x:c r="K92" s="3"/>
      <x:c r="L92" s="10"/>
      <x:c r="M92" s="11"/>
      <x:c r="N92" s="11"/>
      <x:c r="O92" s="11"/>
      <x:c r="P92" s="11"/>
      <x:c r="Q92" s="8"/>
    </x:row>
    <x:row r="93">
      <x:c r="D93" s="3"/>
      <x:c r="E93" s="3"/>
      <x:c r="F93" s="3"/>
      <x:c r="G93" s="9"/>
      <x:c r="H93" s="5"/>
      <x:c r="I93" s="5"/>
      <x:c r="J93" s="5"/>
      <x:c r="K93" s="3"/>
      <x:c r="L93" s="10"/>
      <x:c r="M93" s="11"/>
      <x:c r="N93" s="11"/>
      <x:c r="O93" s="11"/>
      <x:c r="P93" s="11"/>
      <x:c r="Q93" s="8"/>
    </x:row>
    <x:row r="94">
      <x:c r="D94" s="3"/>
      <x:c r="E94" s="3"/>
      <x:c r="F94" s="3"/>
      <x:c r="G94" s="9"/>
      <x:c r="H94" s="5"/>
      <x:c r="I94" s="5"/>
      <x:c r="J94" s="5"/>
      <x:c r="K94" s="3"/>
      <x:c r="L94" s="10"/>
      <x:c r="M94" s="11"/>
      <x:c r="N94" s="11"/>
      <x:c r="O94" s="11"/>
      <x:c r="P94" s="11"/>
      <x:c r="Q94" s="8"/>
    </x:row>
    <x:row r="95">
      <x:c r="D95" s="3"/>
      <x:c r="E95" s="3"/>
      <x:c r="F95" s="3"/>
      <x:c r="G95" s="9"/>
      <x:c r="H95" s="5"/>
      <x:c r="I95" s="5"/>
      <x:c r="J95" s="5"/>
      <x:c r="K95" s="3"/>
      <x:c r="L95" s="10"/>
      <x:c r="M95" s="11"/>
      <x:c r="N95" s="11"/>
      <x:c r="O95" s="11"/>
      <x:c r="P95" s="11"/>
      <x:c r="Q95" s="8"/>
    </x:row>
    <x:row r="96">
      <x:c r="D96" s="3"/>
      <x:c r="E96" s="3"/>
      <x:c r="F96" s="3"/>
      <x:c r="G96" s="9"/>
      <x:c r="H96" s="5"/>
      <x:c r="I96" s="5"/>
      <x:c r="J96" s="5"/>
      <x:c r="K96" s="3"/>
      <x:c r="L96" s="10"/>
      <x:c r="M96" s="11"/>
      <x:c r="N96" s="11"/>
      <x:c r="O96" s="11"/>
      <x:c r="P96" s="11"/>
      <x:c r="Q96" s="8"/>
    </x:row>
    <x:row r="97">
      <x:c r="D97" s="3"/>
      <x:c r="E97" s="3"/>
      <x:c r="F97" s="3"/>
      <x:c r="G97" s="9"/>
      <x:c r="H97" s="5"/>
      <x:c r="I97" s="5"/>
      <x:c r="J97" s="5"/>
      <x:c r="K97" s="3"/>
      <x:c r="L97" s="10"/>
      <x:c r="M97" s="11"/>
      <x:c r="N97" s="11"/>
      <x:c r="O97" s="11"/>
      <x:c r="P97" s="11"/>
      <x:c r="Q97" s="8"/>
    </x:row>
    <x:row r="98">
      <x:c r="D98" s="3"/>
      <x:c r="E98" s="3"/>
      <x:c r="F98" s="3"/>
      <x:c r="G98" s="9"/>
      <x:c r="H98" s="5"/>
      <x:c r="I98" s="5"/>
      <x:c r="J98" s="5"/>
      <x:c r="K98" s="3"/>
      <x:c r="L98" s="10"/>
      <x:c r="M98" s="11"/>
      <x:c r="N98" s="11"/>
      <x:c r="O98" s="11"/>
      <x:c r="P98" s="11"/>
      <x:c r="Q98" s="8"/>
    </x:row>
    <x:row r="99">
      <x:c r="D99" s="3"/>
      <x:c r="E99" s="3"/>
      <x:c r="F99" s="3"/>
      <x:c r="G99" s="9"/>
      <x:c r="H99" s="5"/>
      <x:c r="I99" s="5"/>
      <x:c r="J99" s="5"/>
      <x:c r="K99" s="3"/>
      <x:c r="L99" s="10"/>
      <x:c r="M99" s="11"/>
      <x:c r="N99" s="11"/>
      <x:c r="O99" s="11"/>
      <x:c r="P99" s="11"/>
      <x:c r="Q99" s="8"/>
    </x:row>
    <x:row r="100">
      <x:c r="D100" s="3"/>
      <x:c r="E100" s="3"/>
      <x:c r="F100" s="3"/>
      <x:c r="G100" s="9"/>
      <x:c r="H100" s="5"/>
      <x:c r="I100" s="5"/>
      <x:c r="J100" s="5"/>
      <x:c r="K100" s="3"/>
      <x:c r="L100" s="10"/>
      <x:c r="M100" s="11"/>
      <x:c r="N100" s="11"/>
      <x:c r="O100" s="11"/>
      <x:c r="P100" s="11"/>
      <x:c r="Q100" s="8"/>
    </x:row>
  </x:sheetData>
  <x:pageMargins left="0.7" right="0.7" top="0.75" bottom="0.75" header="0.3" footer="0.3"/>
  <x:drawing xmlns:r="http://schemas.openxmlformats.org/officeDocument/2006/relationships" r:id="R6cab71f9e6cc4c36"/>
  <x:tableParts count="1">
    <x:tablePart xmlns:r="http://schemas.openxmlformats.org/officeDocument/2006/relationships" r:id="R33023e2f42ed4c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.630000114440918" hidden="0" customWidth="1"/>
    <x:col min="3" max="3" width="7.5" hidden="0" customWidth="1"/>
    <x:col min="4" max="4" width="15" hidden="0" customWidth="1"/>
    <x:col min="5" max="5" width="27.5" hidden="0" customWidth="1"/>
    <x:col min="6" max="6" width="20" hidden="0" customWidth="1"/>
    <x:col min="7" max="7" width="22.5" hidden="0" customWidth="1"/>
    <x:col min="8" max="8" width="11.25" hidden="0" customWidth="1"/>
    <x:col min="9" max="9" width="10.630000114440918" hidden="0" customWidth="1"/>
    <x:col min="10" max="10" width="11.25" hidden="0" customWidth="1"/>
    <x:col min="11" max="11" width="18.1299991607666" hidden="0" customWidth="1"/>
    <x:col min="12" max="12" width="31.25" hidden="0" customWidth="1"/>
  </x:cols>
  <x:sheetData>
    <x:row r="1">
      <x:c r="A1" s="7" t="str">
        <x:v>timestamp_utc</x:v>
      </x:c>
      <x:c r="B1" s="7" t="str">
        <x:v>event_type</x:v>
      </x:c>
      <x:c r="C1" s="7" t="str">
        <x:v>coin</x:v>
      </x:c>
      <x:c r="D1" s="7" t="str">
        <x:v>amount</x:v>
      </x:c>
      <x:c r="E1" s="7" t="str">
        <x:v>wallet_address</x:v>
      </x:c>
      <x:c r="F1" s="7" t="str">
        <x:v>pool_or_exchange</x:v>
      </x:c>
      <x:c r="G1" s="7" t="str">
        <x:v>txid_or_order_id</x:v>
      </x:c>
      <x:c r="H1" s="7" t="str">
        <x:v>gross_usd</x:v>
      </x:c>
      <x:c r="I1" s="7" t="str">
        <x:v>fee_usd</x:v>
      </x:c>
      <x:c r="J1" s="7" t="str">
        <x:v>net_usd</x:v>
      </x:c>
      <x:c r="K1" s="7" t="str">
        <x:v>source</x:v>
      </x:c>
      <x:c r="L1" s="7" t="str">
        <x:v>notes</x:v>
      </x:c>
    </x:row>
    <x:row r="2">
      <x:c r="A2" t="n">
        <x:v>46171</x:v>
      </x:c>
      <x:c r="B2" t="str">
        <x:v>mining_payout</x:v>
      </x:c>
      <x:c r="C2" t="str">
        <x:v>XMR</x:v>
      </x:c>
      <x:c r="D2" t="str">
        <x:v>0.000000000000</x:v>
      </x:c>
      <x:c r="E2" t="str">
        <x:v>RECEIVE_ADDRESS_ONLY</x:v>
      </x:c>
      <x:c r="F2" t="str">
        <x:v>POOL_NAME</x:v>
      </x:c>
      <x:c r="G2" t="str">
        <x:v>TXID_OR_POOL_RECEIPT</x:v>
      </x:c>
      <x:c r="H2" s="12" t="n">
        <x:v>0</x:v>
      </x:c>
      <x:c r="I2" s="12" t="n">
        <x:v>0</x:v>
      </x:c>
      <x:c r="J2" s="12" t="n">
        <x:v>0</x:v>
      </x:c>
      <x:c r="K2" t="str">
        <x:v>pool dashboard</x:v>
      </x:c>
      <x:c r="L2" t="str">
        <x:v>Example only</x:v>
      </x:c>
    </x:row>
    <x:row r="3">
      <x:c r="A3" t="n">
        <x:v>46171</x:v>
      </x:c>
      <x:c r="B3" t="str">
        <x:v>sell_off</x:v>
      </x:c>
      <x:c r="C3" t="str">
        <x:v>RVN</x:v>
      </x:c>
      <x:c r="D3" t="str">
        <x:v>0.00000000</x:v>
      </x:c>
      <x:c r="E3" t="str">
        <x:v>RECEIVE_ADDRESS_ONLY</x:v>
      </x:c>
      <x:c r="F3" t="str">
        <x:v>EXCHANGE_NAME</x:v>
      </x:c>
      <x:c r="G3" t="str">
        <x:v>ORDER_ID</x:v>
      </x:c>
      <x:c r="H3" s="12" t="n">
        <x:v>0</x:v>
      </x:c>
      <x:c r="I3" s="12" t="n">
        <x:v>0</x:v>
      </x:c>
      <x:c r="J3" s="12" t="n">
        <x:v>0</x:v>
      </x:c>
      <x:c r="K3" t="str">
        <x:v>exchange receipt</x:v>
      </x:c>
      <x:c r="L3" t="str">
        <x:v>Example only</x:v>
      </x:c>
    </x:row>
    <x:row r="4">
      <x:c r="H4" s="12"/>
      <x:c r="I4" s="12"/>
      <x:c r="J4" s="12"/>
    </x:row>
    <x:row r="5">
      <x:c r="H5" s="12"/>
      <x:c r="I5" s="12"/>
      <x:c r="J5" s="12"/>
    </x:row>
    <x:row r="6">
      <x:c r="H6" s="12"/>
      <x:c r="I6" s="12"/>
      <x:c r="J6" s="12"/>
    </x:row>
    <x:row r="7">
      <x:c r="H7" s="12"/>
      <x:c r="I7" s="12"/>
      <x:c r="J7" s="12"/>
    </x:row>
    <x:row r="8">
      <x:c r="H8" s="12"/>
      <x:c r="I8" s="12"/>
      <x:c r="J8" s="12"/>
    </x:row>
    <x:row r="9">
      <x:c r="H9" s="12"/>
      <x:c r="I9" s="12"/>
      <x:c r="J9" s="12"/>
    </x:row>
    <x:row r="10">
      <x:c r="H10" s="12"/>
      <x:c r="I10" s="12"/>
      <x:c r="J10" s="12"/>
    </x:row>
    <x:row r="11">
      <x:c r="H11" s="12"/>
      <x:c r="I11" s="12"/>
      <x:c r="J11" s="12"/>
    </x:row>
    <x:row r="12">
      <x:c r="H12" s="12"/>
      <x:c r="I12" s="12"/>
      <x:c r="J12" s="12"/>
    </x:row>
    <x:row r="13">
      <x:c r="H13" s="12"/>
      <x:c r="I13" s="12"/>
      <x:c r="J13" s="12"/>
    </x:row>
    <x:row r="14">
      <x:c r="H14" s="12"/>
      <x:c r="I14" s="12"/>
      <x:c r="J14" s="12"/>
    </x:row>
    <x:row r="15">
      <x:c r="H15" s="12"/>
      <x:c r="I15" s="12"/>
      <x:c r="J15" s="12"/>
    </x:row>
    <x:row r="16">
      <x:c r="H16" s="12"/>
      <x:c r="I16" s="12"/>
      <x:c r="J16" s="12"/>
    </x:row>
    <x:row r="17">
      <x:c r="H17" s="12"/>
      <x:c r="I17" s="12"/>
      <x:c r="J17" s="12"/>
    </x:row>
    <x:row r="18">
      <x:c r="H18" s="12"/>
      <x:c r="I18" s="12"/>
      <x:c r="J18" s="12"/>
    </x:row>
    <x:row r="19">
      <x:c r="H19" s="12"/>
      <x:c r="I19" s="12"/>
      <x:c r="J19" s="12"/>
    </x:row>
    <x:row r="20">
      <x:c r="H20" s="12"/>
      <x:c r="I20" s="12"/>
      <x:c r="J20" s="12"/>
    </x:row>
    <x:row r="21">
      <x:c r="H21" s="12"/>
      <x:c r="I21" s="12"/>
      <x:c r="J21" s="12"/>
    </x:row>
    <x:row r="22">
      <x:c r="H22" s="12"/>
      <x:c r="I22" s="12"/>
      <x:c r="J22" s="12"/>
    </x:row>
    <x:row r="23">
      <x:c r="H23" s="12"/>
      <x:c r="I23" s="12"/>
      <x:c r="J23" s="12"/>
    </x:row>
    <x:row r="24">
      <x:c r="H24" s="12"/>
      <x:c r="I24" s="12"/>
      <x:c r="J24" s="12"/>
    </x:row>
    <x:row r="25">
      <x:c r="H25" s="12"/>
      <x:c r="I25" s="12"/>
      <x:c r="J25" s="12"/>
    </x:row>
    <x:row r="26">
      <x:c r="H26" s="12"/>
      <x:c r="I26" s="12"/>
      <x:c r="J26" s="12"/>
    </x:row>
    <x:row r="27">
      <x:c r="H27" s="12"/>
      <x:c r="I27" s="12"/>
      <x:c r="J27" s="12"/>
    </x:row>
    <x:row r="28">
      <x:c r="H28" s="12"/>
      <x:c r="I28" s="12"/>
      <x:c r="J28" s="12"/>
    </x:row>
    <x:row r="29">
      <x:c r="H29" s="12"/>
      <x:c r="I29" s="12"/>
      <x:c r="J29" s="12"/>
    </x:row>
    <x:row r="30">
      <x:c r="H30" s="12"/>
      <x:c r="I30" s="12"/>
      <x:c r="J30" s="12"/>
    </x:row>
    <x:row r="31">
      <x:c r="H31" s="12"/>
      <x:c r="I31" s="12"/>
      <x:c r="J31" s="12"/>
    </x:row>
    <x:row r="32">
      <x:c r="H32" s="12"/>
      <x:c r="I32" s="12"/>
      <x:c r="J32" s="12"/>
    </x:row>
    <x:row r="33">
      <x:c r="H33" s="12"/>
      <x:c r="I33" s="12"/>
      <x:c r="J33" s="12"/>
    </x:row>
    <x:row r="34">
      <x:c r="H34" s="12"/>
      <x:c r="I34" s="12"/>
      <x:c r="J34" s="12"/>
    </x:row>
    <x:row r="35">
      <x:c r="H35" s="12"/>
      <x:c r="I35" s="12"/>
      <x:c r="J35" s="12"/>
    </x:row>
    <x:row r="36">
      <x:c r="H36" s="12"/>
      <x:c r="I36" s="12"/>
      <x:c r="J36" s="12"/>
    </x:row>
    <x:row r="37">
      <x:c r="H37" s="12"/>
      <x:c r="I37" s="12"/>
      <x:c r="J37" s="12"/>
    </x:row>
    <x:row r="38">
      <x:c r="H38" s="12"/>
      <x:c r="I38" s="12"/>
      <x:c r="J38" s="12"/>
    </x:row>
    <x:row r="39">
      <x:c r="H39" s="12"/>
      <x:c r="I39" s="12"/>
      <x:c r="J39" s="12"/>
    </x:row>
    <x:row r="40">
      <x:c r="H40" s="12"/>
      <x:c r="I40" s="12"/>
      <x:c r="J40" s="12"/>
    </x:row>
    <x:row r="41">
      <x:c r="H41" s="12"/>
      <x:c r="I41" s="12"/>
      <x:c r="J41" s="12"/>
    </x:row>
    <x:row r="42">
      <x:c r="H42" s="12"/>
      <x:c r="I42" s="12"/>
      <x:c r="J42" s="12"/>
    </x:row>
    <x:row r="43">
      <x:c r="H43" s="12"/>
      <x:c r="I43" s="12"/>
      <x:c r="J43" s="12"/>
    </x:row>
    <x:row r="44">
      <x:c r="H44" s="12"/>
      <x:c r="I44" s="12"/>
      <x:c r="J44" s="12"/>
    </x:row>
    <x:row r="45">
      <x:c r="H45" s="12"/>
      <x:c r="I45" s="12"/>
      <x:c r="J45" s="12"/>
    </x:row>
    <x:row r="46">
      <x:c r="H46" s="12"/>
      <x:c r="I46" s="12"/>
      <x:c r="J46" s="12"/>
    </x:row>
    <x:row r="47">
      <x:c r="H47" s="12"/>
      <x:c r="I47" s="12"/>
      <x:c r="J47" s="12"/>
    </x:row>
    <x:row r="48">
      <x:c r="H48" s="12"/>
      <x:c r="I48" s="12"/>
      <x:c r="J48" s="12"/>
    </x:row>
    <x:row r="49">
      <x:c r="H49" s="12"/>
      <x:c r="I49" s="12"/>
      <x:c r="J49" s="12"/>
    </x:row>
    <x:row r="50">
      <x:c r="H50" s="12"/>
      <x:c r="I50" s="12"/>
      <x:c r="J50" s="12"/>
    </x:row>
    <x:row r="51">
      <x:c r="H51" s="12"/>
      <x:c r="I51" s="12"/>
      <x:c r="J51" s="12"/>
    </x:row>
    <x:row r="52">
      <x:c r="H52" s="12"/>
      <x:c r="I52" s="12"/>
      <x:c r="J52" s="12"/>
    </x:row>
    <x:row r="53">
      <x:c r="H53" s="12"/>
      <x:c r="I53" s="12"/>
      <x:c r="J53" s="12"/>
    </x:row>
    <x:row r="54">
      <x:c r="H54" s="12"/>
      <x:c r="I54" s="12"/>
      <x:c r="J54" s="12"/>
    </x:row>
    <x:row r="55">
      <x:c r="H55" s="12"/>
      <x:c r="I55" s="12"/>
      <x:c r="J55" s="12"/>
    </x:row>
    <x:row r="56">
      <x:c r="H56" s="12"/>
      <x:c r="I56" s="12"/>
      <x:c r="J56" s="12"/>
    </x:row>
    <x:row r="57">
      <x:c r="H57" s="12"/>
      <x:c r="I57" s="12"/>
      <x:c r="J57" s="12"/>
    </x:row>
    <x:row r="58">
      <x:c r="H58" s="12"/>
      <x:c r="I58" s="12"/>
      <x:c r="J58" s="12"/>
    </x:row>
    <x:row r="59">
      <x:c r="H59" s="12"/>
      <x:c r="I59" s="12"/>
      <x:c r="J59" s="12"/>
    </x:row>
    <x:row r="60">
      <x:c r="H60" s="12"/>
      <x:c r="I60" s="12"/>
      <x:c r="J60" s="12"/>
    </x:row>
    <x:row r="61">
      <x:c r="H61" s="12"/>
      <x:c r="I61" s="12"/>
      <x:c r="J61" s="12"/>
    </x:row>
    <x:row r="62">
      <x:c r="H62" s="12"/>
      <x:c r="I62" s="12"/>
      <x:c r="J62" s="12"/>
    </x:row>
    <x:row r="63">
      <x:c r="H63" s="12"/>
      <x:c r="I63" s="12"/>
      <x:c r="J63" s="12"/>
    </x:row>
    <x:row r="64">
      <x:c r="H64" s="12"/>
      <x:c r="I64" s="12"/>
      <x:c r="J64" s="12"/>
    </x:row>
    <x:row r="65">
      <x:c r="H65" s="12"/>
      <x:c r="I65" s="12"/>
      <x:c r="J65" s="12"/>
    </x:row>
    <x:row r="66">
      <x:c r="H66" s="12"/>
      <x:c r="I66" s="12"/>
      <x:c r="J66" s="12"/>
    </x:row>
    <x:row r="67">
      <x:c r="H67" s="12"/>
      <x:c r="I67" s="12"/>
      <x:c r="J67" s="12"/>
    </x:row>
    <x:row r="68">
      <x:c r="H68" s="12"/>
      <x:c r="I68" s="12"/>
      <x:c r="J68" s="12"/>
    </x:row>
    <x:row r="69">
      <x:c r="H69" s="12"/>
      <x:c r="I69" s="12"/>
      <x:c r="J69" s="12"/>
    </x:row>
    <x:row r="70">
      <x:c r="H70" s="12"/>
      <x:c r="I70" s="12"/>
      <x:c r="J70" s="12"/>
    </x:row>
    <x:row r="71">
      <x:c r="H71" s="12"/>
      <x:c r="I71" s="12"/>
      <x:c r="J71" s="12"/>
    </x:row>
    <x:row r="72">
      <x:c r="H72" s="12"/>
      <x:c r="I72" s="12"/>
      <x:c r="J72" s="12"/>
    </x:row>
    <x:row r="73">
      <x:c r="H73" s="12"/>
      <x:c r="I73" s="12"/>
      <x:c r="J73" s="12"/>
    </x:row>
    <x:row r="74">
      <x:c r="H74" s="12"/>
      <x:c r="I74" s="12"/>
      <x:c r="J74" s="12"/>
    </x:row>
    <x:row r="75">
      <x:c r="H75" s="12"/>
      <x:c r="I75" s="12"/>
      <x:c r="J75" s="12"/>
    </x:row>
    <x:row r="76">
      <x:c r="H76" s="12"/>
      <x:c r="I76" s="12"/>
      <x:c r="J76" s="12"/>
    </x:row>
    <x:row r="77">
      <x:c r="H77" s="12"/>
      <x:c r="I77" s="12"/>
      <x:c r="J77" s="12"/>
    </x:row>
    <x:row r="78">
      <x:c r="H78" s="12"/>
      <x:c r="I78" s="12"/>
      <x:c r="J78" s="12"/>
    </x:row>
    <x:row r="79">
      <x:c r="H79" s="12"/>
      <x:c r="I79" s="12"/>
      <x:c r="J79" s="12"/>
    </x:row>
    <x:row r="80">
      <x:c r="H80" s="12"/>
      <x:c r="I80" s="12"/>
      <x:c r="J80" s="12"/>
    </x:row>
    <x:row r="81">
      <x:c r="H81" s="12"/>
      <x:c r="I81" s="12"/>
      <x:c r="J81" s="12"/>
    </x:row>
    <x:row r="82">
      <x:c r="H82" s="12"/>
      <x:c r="I82" s="12"/>
      <x:c r="J82" s="12"/>
    </x:row>
    <x:row r="83">
      <x:c r="H83" s="12"/>
      <x:c r="I83" s="12"/>
      <x:c r="J83" s="12"/>
    </x:row>
    <x:row r="84">
      <x:c r="H84" s="12"/>
      <x:c r="I84" s="12"/>
      <x:c r="J84" s="12"/>
    </x:row>
    <x:row r="85">
      <x:c r="H85" s="12"/>
      <x:c r="I85" s="12"/>
      <x:c r="J85" s="12"/>
    </x:row>
    <x:row r="86">
      <x:c r="H86" s="12"/>
      <x:c r="I86" s="12"/>
      <x:c r="J86" s="12"/>
    </x:row>
    <x:row r="87">
      <x:c r="H87" s="12"/>
      <x:c r="I87" s="12"/>
      <x:c r="J87" s="12"/>
    </x:row>
    <x:row r="88">
      <x:c r="H88" s="12"/>
      <x:c r="I88" s="12"/>
      <x:c r="J88" s="12"/>
    </x:row>
    <x:row r="89">
      <x:c r="H89" s="12"/>
      <x:c r="I89" s="12"/>
      <x:c r="J89" s="12"/>
    </x:row>
    <x:row r="90">
      <x:c r="H90" s="12"/>
      <x:c r="I90" s="12"/>
      <x:c r="J90" s="12"/>
    </x:row>
    <x:row r="91">
      <x:c r="H91" s="12"/>
      <x:c r="I91" s="12"/>
      <x:c r="J91" s="12"/>
    </x:row>
    <x:row r="92">
      <x:c r="H92" s="12"/>
      <x:c r="I92" s="12"/>
      <x:c r="J92" s="12"/>
    </x:row>
    <x:row r="93">
      <x:c r="H93" s="12"/>
      <x:c r="I93" s="12"/>
      <x:c r="J93" s="12"/>
    </x:row>
    <x:row r="94">
      <x:c r="H94" s="12"/>
      <x:c r="I94" s="12"/>
      <x:c r="J94" s="12"/>
    </x:row>
    <x:row r="95">
      <x:c r="H95" s="12"/>
      <x:c r="I95" s="12"/>
      <x:c r="J95" s="12"/>
    </x:row>
    <x:row r="96">
      <x:c r="H96" s="12"/>
      <x:c r="I96" s="12"/>
      <x:c r="J96" s="12"/>
    </x:row>
    <x:row r="97">
      <x:c r="H97" s="12"/>
      <x:c r="I97" s="12"/>
      <x:c r="J97" s="12"/>
    </x:row>
    <x:row r="98">
      <x:c r="H98" s="12"/>
      <x:c r="I98" s="12"/>
      <x:c r="J98" s="12"/>
    </x:row>
    <x:row r="99">
      <x:c r="H99" s="12"/>
      <x:c r="I99" s="12"/>
      <x:c r="J99" s="12"/>
    </x:row>
    <x:row r="100">
      <x:c r="H100" s="12"/>
      <x:c r="I100" s="12"/>
      <x:c r="J100" s="12"/>
    </x:row>
  </x:sheetData>
  <x:pageMargins left="0.7" right="0.7" top="0.75" bottom="0.75" header="0.3" footer="0.3"/>
  <x:tableParts count="1">
    <x:tablePart xmlns:r="http://schemas.openxmlformats.org/officeDocument/2006/relationships" r:id="R142aca19ee1047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4.380000114440918" hidden="0" customWidth="1"/>
    <x:col min="4" max="4" width="32.5" hidden="0" customWidth="1"/>
    <x:col min="5" max="5" width="12.5" hidden="0" customWidth="1"/>
    <x:col min="6" max="6" width="15" hidden="0" customWidth="1"/>
    <x:col min="7" max="7" width="12.5" hidden="0" customWidth="1"/>
    <x:col min="8" max="8" width="32.5" hidden="0" customWidth="1"/>
    <x:col min="9" max="9" width="14.380000114440918" hidden="0" customWidth="1"/>
    <x:col min="10" max="10" width="30" hidden="0" customWidth="1"/>
  </x:cols>
  <x:sheetData>
    <x:row r="1">
      <x:c r="A1" s="7" t="str">
        <x:v>item_id</x:v>
      </x:c>
      <x:c r="B1" s="7" t="str">
        <x:v>coin_or_network</x:v>
      </x:c>
      <x:c r="C1" s="7" t="str">
        <x:v>type</x:v>
      </x:c>
      <x:c r="D1" s="7" t="str">
        <x:v>url</x:v>
      </x:c>
      <x:c r="E1" s="7" t="str">
        <x:v>status</x:v>
      </x:c>
      <x:c r="F1" s="7" t="str">
        <x:v>wallet_required</x:v>
      </x:c>
      <x:c r="G1" s="7" t="str">
        <x:v>kyc_required</x:v>
      </x:c>
      <x:c r="H1" s="7" t="str">
        <x:v>risk_notes</x:v>
      </x:c>
      <x:c r="I1" s="7" t="str">
        <x:v>last_checked</x:v>
      </x:c>
      <x:c r="J1" s="7" t="str">
        <x:v>operator_notes</x:v>
      </x:c>
    </x:row>
    <x:row r="2">
      <x:c r="A2" t="str">
        <x:v>kaspa-testnet</x:v>
      </x:c>
      <x:c r="B2" t="str">
        <x:v>KAS testnet</x:v>
      </x:c>
      <x:c r="C2" t="str">
        <x:v>Faucet</x:v>
      </x:c>
      <x:c r="D2" t="str">
        <x:v>https://faucet.kaspanet.io/</x:v>
      </x:c>
      <x:c r="E2" t="str">
        <x:v>Unverified</x:v>
      </x:c>
      <x:c r="F2" t="str">
        <x:v>Yes</x:v>
      </x:c>
      <x:c r="G2" t="str">
        <x:v>No</x:v>
      </x:c>
      <x:c r="H2" t="str">
        <x:v>Use only testnet wallet; never enter seed phrase</x:v>
      </x:c>
      <x:c r="I2" t="str">
        <x:v>2026-05-29</x:v>
      </x:c>
      <x:c r="J2" t="str">
        <x:v>Verify live URL before use</x:v>
      </x:c>
    </x:row>
    <x:row r="3">
      <x:c r="A3" t="str">
        <x:v>rvn-testnet</x:v>
      </x:c>
      <x:c r="B3" t="str">
        <x:v>RVN testnet</x:v>
      </x:c>
      <x:c r="C3" t="str">
        <x:v>Faucet</x:v>
      </x:c>
      <x:c r="D3" t="str">
        <x:v>https://raven.wiki/wiki/Testnet</x:v>
      </x:c>
      <x:c r="E3" t="str">
        <x:v>Research</x:v>
      </x:c>
      <x:c r="F3" t="str">
        <x:v>Yes</x:v>
      </x:c>
      <x:c r="G3" t="str">
        <x:v>No</x:v>
      </x:c>
      <x:c r="H3" t="str">
        <x:v>Use official docs and testnet only</x:v>
      </x:c>
      <x:c r="I3" t="str">
        <x:v>2026-05-29</x:v>
      </x:c>
      <x:c r="J3" t="str">
        <x:v>Confirm current faucet availability</x:v>
      </x:c>
    </x:row>
    <x:row r="4">
      <x:c r="A4" t="str">
        <x:v>monero-stagenet</x:v>
      </x:c>
      <x:c r="B4" t="str">
        <x:v>XMR stagenet</x:v>
      </x:c>
      <x:c r="C4" t="str">
        <x:v>Practice wallet</x:v>
      </x:c>
      <x:c r="D4" t="str">
        <x:v>https://docs.getmonero.org/infrastructure/networks/</x:v>
      </x:c>
      <x:c r="E4" t="str">
        <x:v>Research</x:v>
      </x:c>
      <x:c r="F4" t="str">
        <x:v>Yes</x:v>
      </x:c>
      <x:c r="G4" t="str">
        <x:v>No</x:v>
      </x:c>
      <x:c r="H4" t="str">
        <x:v>Practice network only; no market value</x:v>
      </x:c>
      <x:c r="I4" t="str">
        <x:v>2026-05-29</x:v>
      </x:c>
      <x:c r="J4" t="str">
        <x:v>Confirm wallet network mode</x:v>
      </x:c>
    </x:row>
  </x:sheetData>
  <x:pageMargins left="0.7" right="0.7" top="0.75" bottom="0.75" header="0.3" footer="0.3"/>
  <x:tableParts count="1">
    <x:tablePart xmlns:r="http://schemas.openxmlformats.org/officeDocument/2006/relationships" r:id="Rd54e4dc57c7f4c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3.75" hidden="0" customWidth="1"/>
    <x:col min="3" max="3" width="13.75" hidden="0" customWidth="1"/>
    <x:col min="4" max="4" width="13.75" hidden="0" customWidth="1"/>
    <x:col min="5" max="5" width="11.25" hidden="0" customWidth="1"/>
    <x:col min="6" max="6" width="41.25" hidden="0" customWidth="1"/>
  </x:cols>
  <x:sheetData>
    <x:row r="1">
      <x:c r="A1" s="7" t="str">
        <x:v>Check</x:v>
      </x:c>
      <x:c r="B1" s="7" t="str">
        <x:v>Actual</x:v>
      </x:c>
      <x:c r="C1" s="7" t="str">
        <x:v>Expected</x:v>
      </x:c>
      <x:c r="D1" s="7" t="str">
        <x:v>Difference</x:v>
      </x:c>
      <x:c r="E1" s="7" t="str">
        <x:v>Status</x:v>
      </x:c>
      <x:c r="F1" s="7" t="str">
        <x:v>Notes</x:v>
      </x:c>
    </x:row>
    <x:row r="2">
      <x:c r="A2" t="str">
        <x:v>No private key fields</x:v>
      </x:c>
      <x:c r="B2" t="n">
        <x:f>COUNTIF('Receipt Ledger'!A:L,"*private*")+COUNTIF('Wallet Matrix'!A:K,"*private*")</x:f>
        <x:v>0</x:v>
      </x:c>
      <x:c r="C2" t="str">
        <x:v>0</x:v>
      </x:c>
      <x:c r="D2" t="n">
        <x:f>B2-VALUE(C2)</x:f>
        <x:v>0</x:v>
      </x:c>
      <x:c r="E2" t="str">
        <x:f>IF(D2=0,"OK","Review")</x:f>
        <x:v>OK</x:v>
      </x:c>
      <x:c r="F2" t="str">
        <x:v>Workbook should use receive addresses only</x:v>
      </x:c>
    </x:row>
    <x:row r="3">
      <x:c r="A3" t="str">
        <x:v>Refresh flags</x:v>
      </x:c>
      <x:c r="B3" t="n">
        <x:f>COUNTIF('Profit Model'!R:R,"Yes")</x:f>
        <x:v>3</x:v>
      </x:c>
      <x:c r="C3" t="str">
        <x:v>&gt;=1</x:v>
      </x:c>
      <x:c r="D3"/>
      <x:c r="E3" t="str">
        <x:f>IF(B3&gt;=1,"OK","Review")</x:f>
        <x:v>OK</x:v>
      </x:c>
      <x:c r="F3" t="str">
        <x:v>At least one model row should force refresh before decision</x:v>
      </x:c>
    </x:row>
    <x:row r="4">
      <x:c r="A4" t="str">
        <x:v>Wallet rows</x:v>
      </x:c>
      <x:c r="B4" t="n">
        <x:f>COUNTA('Wallet Matrix'!A:A)-1</x:f>
        <x:v>5</x:v>
      </x:c>
      <x:c r="C4" t="str">
        <x:v>&gt;=3</x:v>
      </x:c>
      <x:c r="D4"/>
      <x:c r="E4" t="str">
        <x:f>IF(B4&gt;=3,"OK","Review")</x:f>
        <x:v>OK</x:v>
      </x:c>
      <x:c r="F4" t="str">
        <x:v>Core coin lanes are present</x:v>
      </x:c>
    </x:row>
    <x:row r="5">
      <x:c r="A5" t="str">
        <x:v>Hardware rows</x:v>
      </x:c>
      <x:c r="B5" t="n">
        <x:f>COUNTA('Hardware Intake'!A:A)-1</x:f>
        <x:v>3</x:v>
      </x:c>
      <x:c r="C5" t="str">
        <x:v>&gt;=3</x:v>
      </x:c>
      <x:c r="D5"/>
      <x:c r="E5" t="str">
        <x:f>IF(B5&gt;=3,"OK","Review")</x:f>
        <x:v>OK</x:v>
      </x:c>
      <x:c r="F5" t="str">
        <x:v>CPU, GPU, and ASIC examples are present</x:v>
      </x:c>
    </x:row>
    <x:row r="6">
      <x:c r="A6" t="str">
        <x:v>Ledger rows</x:v>
      </x:c>
      <x:c r="B6" t="n">
        <x:f>COUNTA('Receipt Ledger'!A:A)-1</x:f>
        <x:v>2</x:v>
      </x:c>
      <x:c r="C6" t="str">
        <x:v>&gt;=2</x:v>
      </x:c>
      <x:c r="D6"/>
      <x:c r="E6" t="str">
        <x:f>IF(B6&gt;=2,"OK","Review")</x:f>
        <x:v>OK</x:v>
      </x:c>
      <x:c r="F6" t="str">
        <x:v>Payout and sell-off examples are present</x:v>
      </x:c>
    </x:row>
    <x:row r="7">
      <x:c r="A7" t="str">
        <x:v>Model status</x:v>
      </x:c>
      <x:c r="B7" t="n">
        <x:f>COUNTIF(E2:E6,"Review")</x:f>
        <x:v>0</x:v>
      </x:c>
      <x:c r="C7" t="str">
        <x:v>0</x:v>
      </x:c>
      <x:c r="D7" t="n">
        <x:f>B7-VALUE(C7)</x:f>
        <x:v>0</x:v>
      </x:c>
      <x:c r="E7" t="str">
        <x:f>IF(B7=0,"OK","Review")</x:f>
        <x:v>OK</x:v>
      </x:c>
      <x:c r="F7" t="str">
        <x:v>All checks should be OK before use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41.25" hidden="0" customWidth="1"/>
    <x:col min="4" max="4" width="18.75" hidden="0" customWidth="1"/>
    <x:col min="5" max="5" width="33.75" hidden="0" customWidth="1"/>
    <x:col min="6" max="6" width="13.130000114440918" hidden="0" customWidth="1"/>
    <x:col min="7" max="7" width="45" hidden="0" customWidth="1"/>
  </x:cols>
  <x:sheetData>
    <x:row r="1">
      <x:c r="A1" s="7" t="str">
        <x:v>source_id</x:v>
      </x:c>
      <x:c r="B1" s="7" t="str">
        <x:v>title</x:v>
      </x:c>
      <x:c r="C1" s="7" t="str">
        <x:v>url</x:v>
      </x:c>
      <x:c r="D1" s="7" t="str">
        <x:v>source_type</x:v>
      </x:c>
      <x:c r="E1" s="7" t="str">
        <x:v>used_for</x:v>
      </x:c>
      <x:c r="F1" s="7" t="str">
        <x:v>as_of</x:v>
      </x:c>
      <x:c r="G1" s="7" t="str">
        <x:v>notes</x:v>
      </x:c>
    </x:row>
    <x:row r="2">
      <x:c r="A2" t="str">
        <x:v>monero-randomx</x:v>
      </x:c>
      <x:c r="B2" t="str">
        <x:v>RandomX Moneropedia</x:v>
      </x:c>
      <x:c r="C2" t="str">
        <x:v>https://web.getmonero.org/resources/moneropedia/randomx.html</x:v>
      </x:c>
      <x:c r="D2" t="str">
        <x:v>Official docs</x:v>
      </x:c>
      <x:c r="E2" t="str">
        <x:v>Monero CPU-focused RandomX description</x:v>
      </x:c>
      <x:c r="F2" t="str">
        <x:v>2026-05-29</x:v>
      </x:c>
      <x:c r="G2" t="str">
        <x:v>RandomX is CPU-optimized and discourages specialized mining hardware</x:v>
      </x:c>
    </x:row>
    <x:row r="3">
      <x:c r="A3" t="str">
        <x:v>monero-tail</x:v>
      </x:c>
      <x:c r="B3" t="str">
        <x:v>Monero Tail Emission</x:v>
      </x:c>
      <x:c r="C3" t="str">
        <x:v>https://www.getmonero.org/resources/moneropedia/tail-emission.html</x:v>
      </x:c>
      <x:c r="D3" t="str">
        <x:v>Official docs</x:v>
      </x:c>
      <x:c r="E3" t="str">
        <x:v>Monero tail emission and reward boundary</x:v>
      </x:c>
      <x:c r="F3" t="str">
        <x:v>2026-05-29</x:v>
      </x:c>
      <x:c r="G3" t="str">
        <x:v>Rewards stay fixed at 0.6 XMR or less per block after tail emission</x:v>
      </x:c>
    </x:row>
    <x:row r="4">
      <x:c r="A4" t="str">
        <x:v>ravencoin-about</x:v>
      </x:c>
      <x:c r="B4" t="str">
        <x:v>Ravencoin About</x:v>
      </x:c>
      <x:c r="C4" t="str">
        <x:v>https://ravencoin.org/about/</x:v>
      </x:c>
      <x:c r="D4" t="str">
        <x:v>Official project site</x:v>
      </x:c>
      <x:c r="E4" t="str">
        <x:v>Ravencoin KAWPOW and GPU framing</x:v>
      </x:c>
      <x:c r="F4" t="str">
        <x:v>2026-05-29</x:v>
      </x:c>
      <x:c r="G4" t="str">
        <x:v>KAWPOW is derived from ProgPOW and ethhash</x:v>
      </x:c>
    </x:row>
    <x:row r="5">
      <x:c r="A5" t="str">
        <x:v>ravencoin-pools</x:v>
      </x:c>
      <x:c r="B5" t="str">
        <x:v>Ravencoin Pools</x:v>
      </x:c>
      <x:c r="C5" t="str">
        <x:v>https://ravencoin.org/pools/</x:v>
      </x:c>
      <x:c r="D5" t="str">
        <x:v>Official project site</x:v>
      </x:c>
      <x:c r="E5" t="str">
        <x:v>Ravencoin pool workflow</x:v>
      </x:c>
      <x:c r="F5" t="str">
        <x:v>2026-05-29</x:v>
      </x:c>
      <x:c r="G5" t="str">
        <x:v>Create wallet address, then choose mining pool</x:v>
      </x:c>
    </x:row>
    <x:row r="6">
      <x:c r="A6" t="str">
        <x:v>kaspa-home</x:v>
      </x:c>
      <x:c r="B6" t="str">
        <x:v>Kaspa Home</x:v>
      </x:c>
      <x:c r="C6" t="str">
        <x:v>https://kaspa.org/</x:v>
      </x:c>
      <x:c r="D6" t="str">
        <x:v>Official project site</x:v>
      </x:c>
      <x:c r="E6" t="str">
        <x:v>Kaspa kHeavyHash consensus algorithm</x:v>
      </x:c>
      <x:c r="F6" t="str">
        <x:v>2026-05-29</x:v>
      </x:c>
      <x:c r="G6" t="str">
        <x:v>Kaspa uses kHeavyHash for proof of work</x:v>
      </x:c>
    </x:row>
    <x:row r="7">
      <x:c r="A7" t="str">
        <x:v>kaspa-emission</x:v>
      </x:c>
      <x:c r="B7" t="str">
        <x:v>Kaspa Emission Schedule</x:v>
      </x:c>
      <x:c r="C7" t="str">
        <x:v>https://kaspa.org/wp-content/uploads/2022/09/KASPA-EMISSION-SCHEDULE.pdf</x:v>
      </x:c>
      <x:c r="D7" t="str">
        <x:v>Official project PDF</x:v>
      </x:c>
      <x:c r="E7" t="str">
        <x:v>Kaspa emission schedule</x:v>
      </x:c>
      <x:c r="F7" t="str">
        <x:v>2026-05-29</x:v>
      </x:c>
      <x:c r="G7" t="str">
        <x:v>Use for emission reference, not live profitability</x:v>
      </x:c>
    </x:row>
    <x:row r="8">
      <x:c r="A8" t="str">
        <x:v>eia-steo</x:v>
      </x:c>
      <x:c r="B8" t="str">
        <x:v>EIA Short-Term Energy Outlook Electricity</x:v>
      </x:c>
      <x:c r="C8" t="str">
        <x:v>https://www.eia.gov/outlooks/steo/report/elec_coal_renew.php</x:v>
      </x:c>
      <x:c r="D8" t="str">
        <x:v>Government forecast</x:v>
      </x:c>
      <x:c r="E8" t="str">
        <x:v>US residential electricity price context</x:v>
      </x:c>
      <x:c r="F8" t="str">
        <x:v>2026-05-29</x:v>
      </x:c>
      <x:c r="G8" t="str">
        <x:v>EIA reports 18.2 cents/kWh US residential average for 2026</x:v>
      </x:c>
    </x:row>
    <x:row r="9">
      <x:c r="A9" t="str">
        <x:v>eia-electricity-data</x:v>
      </x:c>
      <x:c r="B9" t="str">
        <x:v>EIA Electricity Data</x:v>
      </x:c>
      <x:c r="C9" t="str">
        <x:v>https://www.eia.gov/electricity/data.php</x:v>
      </x:c>
      <x:c r="D9" t="str">
        <x:v>Government data portal</x:v>
      </x:c>
      <x:c r="E9" t="str">
        <x:v>State and sector electricity refresh path</x:v>
      </x:c>
      <x:c r="F9" t="str">
        <x:v>2026-05-29</x:v>
      </x:c>
      <x:c r="G9" t="str">
        <x:v>Use current monthly data before spending</x:v>
      </x:c>
    </x:row>
    <x:row r="10">
      <x:c r="A10" t="str">
        <x:v>xmrig-pool</x:v>
      </x:c>
      <x:c r="B10" t="str">
        <x:v>XMRig Pool Configuration</x:v>
      </x:c>
      <x:c r="C10" t="str">
        <x:v>https://xmrig.com/docs/miner/config/pool</x:v>
      </x:c>
      <x:c r="D10" t="str">
        <x:v>Official miner docs</x:v>
      </x:c>
      <x:c r="E10" t="str">
        <x:v>XMRig pool config fields</x:v>
      </x:c>
      <x:c r="F10" t="str">
        <x:v>2026-05-29</x:v>
      </x:c>
      <x:c r="G10" t="str">
        <x:v>Verify releases and checksums separately</x:v>
      </x:c>
    </x:row>
    <x:row r="11">
      <x:c r="A11" t="str">
        <x:v>xmrig-github</x:v>
      </x:c>
      <x:c r="B11" t="str">
        <x:v>XMRig GitHub</x:v>
      </x:c>
      <x:c r="C11" t="str">
        <x:v>https://github.com/xmrig/xmrig</x:v>
      </x:c>
      <x:c r="D11" t="str">
        <x:v>Open-source repository</x:v>
      </x:c>
      <x:c r="E11" t="str">
        <x:v>XMRig releases and source review</x:v>
      </x:c>
      <x:c r="F11" t="str">
        <x:v>2026-05-29</x:v>
      </x:c>
      <x:c r="G11" t="str">
        <x:v>Official source repository</x:v>
      </x:c>
    </x:row>
    <x:row r="12">
      <x:c r="A12" t="str">
        <x:v>kawpowminer-github</x:v>
      </x:c>
      <x:c r="B12" t="str">
        <x:v>kawpowminer GitHub</x:v>
      </x:c>
      <x:c r="C12" t="str">
        <x:v>https://github.com/RavenCommunity/kawpowminer</x:v>
      </x:c>
      <x:c r="D12" t="str">
        <x:v>Open-source repository</x:v>
      </x:c>
      <x:c r="E12" t="str">
        <x:v>Ravencoin open-source miner option</x:v>
      </x:c>
      <x:c r="F12" t="str">
        <x:v>2026-05-29</x:v>
      </x:c>
      <x:c r="G12" t="str">
        <x:v>Verify maintenance status before use</x:v>
      </x:c>
    </x:row>
  </x:sheetData>
  <x:pageMargins left="0.7" right="0.7" top="0.75" bottom="0.75" header="0.3" footer="0.3"/>
  <x:tableParts count="1">
    <x:tablePart xmlns:r="http://schemas.openxmlformats.org/officeDocument/2006/relationships" r:id="R95b57fa7a2214ded"/>
  </x:tableParts>
</x:worksheet>
</file>